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 firstSheet="38" activeTab="40"/>
  </bookViews>
  <sheets>
    <sheet name="AT CHEM (2)" sheetId="78" r:id="rId1"/>
    <sheet name="CT BDGA iv " sheetId="76" r:id="rId2"/>
    <sheet name="CT BDGA pl  " sheetId="77" r:id="rId3"/>
    <sheet name="CETpi" sheetId="75" r:id="rId4"/>
    <sheet name="ats ci" sheetId="73" r:id="rId5"/>
    <sheet name="ats pl " sheetId="74" r:id="rId6"/>
    <sheet name="kyungsan cnt iv HA (2)" sheetId="71" r:id="rId7"/>
    <sheet name="kyungsan cnt pl  HA" sheetId="70" r:id="rId8"/>
    <sheet name="GS pl  " sheetId="68" r:id="rId9"/>
    <sheet name="kyungsan cnt peg iv" sheetId="65" r:id="rId10"/>
    <sheet name="kyungsan cnt peg pl " sheetId="66" r:id="rId11"/>
    <sheet name="gs profoma invoice (2)" sheetId="67" r:id="rId12"/>
    <sheet name="CET ci" sheetId="63" r:id="rId13"/>
    <sheet name="CET pl " sheetId="64" r:id="rId14"/>
    <sheet name="CET PI" sheetId="62" r:id="rId15"/>
    <sheet name="R CI" sheetId="60" r:id="rId16"/>
    <sheet name="R pl" sheetId="61" r:id="rId17"/>
    <sheet name="AT CHEM" sheetId="57" r:id="rId18"/>
    <sheet name="atchem ci" sheetId="55" r:id="rId19"/>
    <sheet name="atchem pl" sheetId="59" r:id="rId20"/>
    <sheet name="LOTTE ci   " sheetId="58" r:id="rId21"/>
    <sheet name="LOTTE PL " sheetId="56" r:id="rId22"/>
    <sheet name="PI (2)" sheetId="54" r:id="rId23"/>
    <sheet name="LGHH profoma invoice" sheetId="4" r:id="rId24"/>
    <sheet name="TL ci " sheetId="50" r:id="rId25"/>
    <sheet name="TL PL " sheetId="52" r:id="rId26"/>
    <sheet name="chemiway ci (2)" sheetId="48" r:id="rId27"/>
    <sheet name="chemiway PL (2)" sheetId="49" r:id="rId28"/>
    <sheet name="medtech iv " sheetId="47" r:id="rId29"/>
    <sheet name="medtech pl" sheetId="44" r:id="rId30"/>
    <sheet name="medtech iv" sheetId="43" r:id="rId31"/>
    <sheet name="ISU  IV  " sheetId="41" r:id="rId32"/>
    <sheet name="ISU PL" sheetId="42" r:id="rId33"/>
    <sheet name="CHEMWAY  euIV" sheetId="39" r:id="rId34"/>
    <sheet name="CHEMWAY PL" sheetId="40" r:id="rId35"/>
    <sheet name="HIGH IV  " sheetId="37" r:id="rId36"/>
    <sheet name="HIGH PL" sheetId="38" r:id="rId37"/>
    <sheet name="greenchem IV " sheetId="34" r:id="rId38"/>
    <sheet name="greenchem  PL " sheetId="36" r:id="rId39"/>
    <sheet name="JSC PL (2)" sheetId="35" r:id="rId40"/>
    <sheet name="GKF CI" sheetId="31" r:id="rId41"/>
    <sheet name="GKF PL" sheetId="32" r:id="rId42"/>
    <sheet name="GKF CI (2)" sheetId="79" r:id="rId43"/>
    <sheet name="GKF PL (2)" sheetId="80" r:id="rId44"/>
    <sheet name="chemiway ci" sheetId="46" r:id="rId45"/>
    <sheet name="chemiway PL" sheetId="45" r:id="rId46"/>
    <sheet name="invoice" sheetId="33" r:id="rId47"/>
    <sheet name="pitchJC CI   " sheetId="29" r:id="rId48"/>
    <sheet name="pitch JC  PL  " sheetId="30" r:id="rId49"/>
    <sheet name="pitch gkfAK" sheetId="28" r:id="rId50"/>
    <sheet name="pitch oiltech CI  " sheetId="26" r:id="rId51"/>
    <sheet name="pitch oiltech  PL " sheetId="27" r:id="rId52"/>
    <sheet name="pitch chemway CI  " sheetId="25" r:id="rId53"/>
    <sheet name="pitch gkf CI" sheetId="24" r:id="rId54"/>
    <sheet name="pitch lotte CI " sheetId="22" r:id="rId55"/>
    <sheet name="pitch lotte CI  PL" sheetId="23" r:id="rId56"/>
    <sheet name="PL" sheetId="20" r:id="rId57"/>
    <sheet name="IV-isu" sheetId="21" r:id="rId58"/>
    <sheet name="BLUECHEMinvoice -PUD" sheetId="19" r:id="rId59"/>
    <sheet name="BLUE CHEMpl -pl PUD" sheetId="18" r:id="rId60"/>
    <sheet name="noroo pl -pl HDO" sheetId="17" r:id="rId61"/>
    <sheet name="noroo invoice -hdo" sheetId="16" r:id="rId62"/>
    <sheet name="PACIFIC-p" sheetId="15" r:id="rId63"/>
    <sheet name="PACIFIC-isu" sheetId="14" r:id="rId64"/>
    <sheet name="SINOWAY" sheetId="13" r:id="rId65"/>
    <sheet name="SINOWAY PL" sheetId="11" r:id="rId66"/>
    <sheet name="chemtree invoice -pl" sheetId="10" r:id="rId67"/>
    <sheet name="chemtree pl -pl" sheetId="9" r:id="rId68"/>
    <sheet name="chemtree  pro. invoice " sheetId="8" r:id="rId69"/>
    <sheet name="chemtree invoice" sheetId="5" r:id="rId70"/>
    <sheet name="chemtree pl" sheetId="6" r:id="rId71"/>
    <sheet name="IVOICE" sheetId="1" r:id="rId72"/>
    <sheet name="COA" sheetId="7" r:id="rId73"/>
    <sheet name="PACKINGLIST" sheetId="3" r:id="rId7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<sst xmlns="http://schemas.openxmlformats.org/spreadsheetml/2006/main" count="3041" uniqueCount="831">
  <si>
    <t>PROFORMA  INVOICE</t>
  </si>
  <si>
    <t>1.Shipper/Exporter:</t>
  </si>
  <si>
    <t>8.No. &amp; Date of invoice</t>
  </si>
  <si>
    <t>QINGDAO EASY-TECH IMP.&amp;EXP. CO.,LTD</t>
  </si>
  <si>
    <t xml:space="preserve">RM A 903, ART&amp; TECHNOLOGY SPACE, NO. 63, </t>
  </si>
  <si>
    <t>9.No. &amp; Date of L/C</t>
  </si>
  <si>
    <t xml:space="preserve">HAIER RD., LAOSHAN DISTRICT ,QINGDAO, CHINA </t>
  </si>
  <si>
    <t>2. Consignee:</t>
  </si>
  <si>
    <t>10.No. &amp; Date of  PI</t>
  </si>
  <si>
    <t>ATCHEM</t>
  </si>
  <si>
    <r>
      <rPr>
        <sz val="9"/>
        <rFont val="Times New Roman"/>
        <charset val="134"/>
      </rPr>
      <t xml:space="preserve"> ETQATS250828-001               AUG. 28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</si>
  <si>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F722, HAUSD.SMARTVALLEY, 16, MISAGANGBYEONSEO-</t>
  </si>
  <si>
    <t xml:space="preserve">11.Remark                                                                                                        </t>
  </si>
  <si>
    <t>RO, HANAM-SI, GYEONGGI-DO, 12918, KOREA</t>
  </si>
  <si>
    <t>PAYMENT: TT IN ADVANCE</t>
  </si>
  <si>
    <t>3.Notify Party:</t>
  </si>
  <si>
    <t>SAME AS ABOVE</t>
  </si>
  <si>
    <t>4.Port of Loading</t>
  </si>
  <si>
    <t>5. Final Destination</t>
  </si>
  <si>
    <t>ANY PORT IN CHINA</t>
  </si>
  <si>
    <t>BUSAN, KOREA</t>
  </si>
  <si>
    <t>6Vessel/Voy. No.</t>
  </si>
  <si>
    <t>7.Sailing on or About</t>
  </si>
  <si>
    <t>SEP.  2025</t>
  </si>
  <si>
    <t>12.Marks and Number of PKGS</t>
  </si>
  <si>
    <t>13.Description of Goods</t>
  </si>
  <si>
    <t>14.Quantity</t>
  </si>
  <si>
    <t>15.Unit Price</t>
  </si>
  <si>
    <t>16.Amount</t>
  </si>
  <si>
    <t>MT</t>
  </si>
  <si>
    <t>USD/MT</t>
  </si>
  <si>
    <t>USD</t>
  </si>
  <si>
    <t xml:space="preserve">N/M </t>
  </si>
  <si>
    <t>CIF BUSAN</t>
  </si>
  <si>
    <t>AMMONIUM THIOSULFATE SOLUTION(57%)</t>
  </si>
  <si>
    <t>ORIGIN: CHINA</t>
  </si>
  <si>
    <t>TOTAL</t>
  </si>
  <si>
    <t>5MT</t>
  </si>
  <si>
    <t>Account details:</t>
  </si>
  <si>
    <t>Beneficiary Bank:SHINHAN BANK(CHINA), QINGDAO BRANCH</t>
  </si>
  <si>
    <r>
      <rPr>
        <b/>
        <sz val="9"/>
        <rFont val="Times New Roman"/>
        <charset val="134"/>
      </rPr>
      <t xml:space="preserve">Beneficiary  </t>
    </r>
    <r>
      <rPr>
        <b/>
        <sz val="9"/>
        <rFont val="Malgun Gothic"/>
        <charset val="134"/>
      </rPr>
      <t>：</t>
    </r>
    <r>
      <rPr>
        <b/>
        <sz val="9"/>
        <rFont val="Times New Roman"/>
        <charset val="134"/>
      </rPr>
      <t xml:space="preserve">     QINGDAO EASY-TECH IMP.&amp;EXP. CO.,LTD </t>
    </r>
    <r>
      <rPr>
        <b/>
        <sz val="9"/>
        <color rgb="FF5C26C8"/>
        <rFont val="Times New Roman"/>
        <charset val="134"/>
      </rPr>
      <t xml:space="preserve"> </t>
    </r>
    <r>
      <rPr>
        <b/>
        <sz val="9"/>
        <color rgb="FF0000FF"/>
        <rFont val="Times New Roman"/>
        <charset val="134"/>
      </rPr>
      <t xml:space="preserve">                                                                 </t>
    </r>
  </si>
  <si>
    <r>
      <rPr>
        <b/>
        <sz val="9"/>
        <rFont val="Times New Roman"/>
        <charset val="134"/>
      </rPr>
      <t xml:space="preserve">Account No.     </t>
    </r>
    <r>
      <rPr>
        <b/>
        <sz val="9"/>
        <rFont val="Malgun Gothic"/>
        <charset val="134"/>
      </rPr>
      <t>：</t>
    </r>
    <r>
      <rPr>
        <b/>
        <sz val="9"/>
        <rFont val="Times New Roman"/>
        <charset val="134"/>
      </rPr>
      <t xml:space="preserve">    700 002 305660</t>
    </r>
  </si>
  <si>
    <r>
      <rPr>
        <b/>
        <sz val="9"/>
        <rFont val="Times New Roman"/>
        <charset val="134"/>
      </rPr>
      <t>Beneficiary Bank Address</t>
    </r>
    <r>
      <rPr>
        <b/>
        <sz val="9"/>
        <rFont val="Malgun Gothic"/>
        <charset val="134"/>
      </rPr>
      <t>：</t>
    </r>
    <r>
      <rPr>
        <b/>
        <sz val="9"/>
        <rFont val="Times New Roman"/>
        <charset val="134"/>
      </rPr>
      <t xml:space="preserve">  4F, CITIC WT SECURITIES CO.,LTD. BLDG. </t>
    </r>
  </si>
  <si>
    <t xml:space="preserve">             NO 28 DONGHAI WEST ROAD, QINGDAO 266071, CHINA</t>
  </si>
  <si>
    <r>
      <rPr>
        <b/>
        <sz val="9"/>
        <rFont val="Times New Roman"/>
        <charset val="134"/>
      </rPr>
      <t>Swift Code</t>
    </r>
    <r>
      <rPr>
        <b/>
        <sz val="9"/>
        <rFont val="Malgun Gothic"/>
        <charset val="134"/>
      </rPr>
      <t>：</t>
    </r>
    <r>
      <rPr>
        <b/>
        <sz val="9"/>
        <rFont val="Times New Roman"/>
        <charset val="134"/>
      </rPr>
      <t>SHBKCNBJXXX</t>
    </r>
  </si>
  <si>
    <r>
      <rPr>
        <sz val="11"/>
        <rFont val="Times New Roman"/>
        <charset val="134"/>
      </rPr>
      <t>Seller</t>
    </r>
    <r>
      <rPr>
        <sz val="11"/>
        <rFont val="宋体"/>
        <charset val="134"/>
      </rPr>
      <t>：</t>
    </r>
    <r>
      <rPr>
        <sz val="11"/>
        <rFont val="Times New Roman"/>
        <charset val="134"/>
      </rPr>
      <t>QINGDAO EASY-TECH IMP.&amp;EXP. CO.,LTD</t>
    </r>
  </si>
  <si>
    <r>
      <rPr>
        <sz val="12"/>
        <rFont val="Times New Roman"/>
        <charset val="134"/>
      </rPr>
      <t>Buyer</t>
    </r>
    <r>
      <rPr>
        <sz val="12"/>
        <rFont val="宋体"/>
        <charset val="134"/>
      </rPr>
      <t>：</t>
    </r>
    <r>
      <rPr>
        <sz val="11"/>
        <rFont val="Times New Roman"/>
        <charset val="134"/>
      </rPr>
      <t>ATCHEM</t>
    </r>
  </si>
  <si>
    <t xml:space="preserve">Signed by                    </t>
  </si>
  <si>
    <t>COMMERCIAL INVOICE</t>
  </si>
  <si>
    <r>
      <rPr>
        <sz val="9"/>
        <rFont val="Times New Roman"/>
        <charset val="134"/>
      </rPr>
      <t>ETQBDGA251106-001                   NOV. 6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</si>
  <si>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 xml:space="preserve">RM A 903, ART&amp; TECHNOLOGY SPACE, NO. 63, HAIER RD.,
</t>
  </si>
  <si>
    <t>9.Payment</t>
  </si>
  <si>
    <t>LAOSHAN DISTRICT ,QINGDAO, CHINA</t>
  </si>
  <si>
    <t>T/T IN ADVANCE</t>
  </si>
  <si>
    <t>10.No. &amp; Date of Contract</t>
  </si>
  <si>
    <r>
      <rPr>
        <sz val="9"/>
        <rFont val="Times New Roman"/>
        <charset val="134"/>
      </rPr>
      <t>ETQBDGA251103-002                  NOV.3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</si>
  <si>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 xml:space="preserve">CHEMTRONICS CO.,LTD 
</t>
  </si>
  <si>
    <t>11.Remark</t>
  </si>
  <si>
    <t>31BAEIL-GIL JEONDONGP-MYEON SEJONG-SI 339-841,</t>
  </si>
  <si>
    <t xml:space="preserve"> SOUTH KOREA</t>
  </si>
  <si>
    <t>QINGDAO,CHINA</t>
  </si>
  <si>
    <t>POS SHANGHAI /1282E</t>
  </si>
  <si>
    <t>NOV.21,2025</t>
  </si>
  <si>
    <t xml:space="preserve"> BUTYL DIGLYCOL ACETATE                                </t>
  </si>
  <si>
    <t>PACKING: IN ISOTANK</t>
  </si>
  <si>
    <t>PACKING LIST</t>
  </si>
  <si>
    <t xml:space="preserve">RM A 903, ART&amp; TECHNOLOGY SPACE, NO. 63, 
</t>
  </si>
  <si>
    <t>HAIER RD., LAOSHAN DISTRICT ,QINGDAO, CHINA</t>
  </si>
  <si>
    <t xml:space="preserve"> KYUNGSAN CNT
</t>
  </si>
  <si>
    <t xml:space="preserve">20-2, HEUNGAN-DAERO 439BEON-GIL, DONGAN-GU, </t>
  </si>
  <si>
    <t>ANYANG-SI, GYEONGGI-DO, KOREA</t>
  </si>
  <si>
    <t>12.Quantity</t>
  </si>
  <si>
    <t>13.NET WEIGHT</t>
  </si>
  <si>
    <t>14.GROSS WEIGHT</t>
  </si>
  <si>
    <t>PAKING: IN ISOTANK</t>
  </si>
  <si>
    <t xml:space="preserve">CONTAINER NO. </t>
  </si>
  <si>
    <t>NET WEIGHT</t>
  </si>
  <si>
    <t>GROSS WEIGHT</t>
  </si>
  <si>
    <t>DJDU7088892</t>
  </si>
  <si>
    <t>DJDU2500311</t>
  </si>
  <si>
    <t>2 ISOTANK</t>
  </si>
  <si>
    <t>KGS</t>
  </si>
  <si>
    <t>50CBM</t>
  </si>
  <si>
    <t xml:space="preserve">Signed  by                                                             </t>
  </si>
  <si>
    <t>10.No. &amp; Date of PI</t>
  </si>
  <si>
    <r>
      <rPr>
        <sz val="9"/>
        <rFont val="Times New Roman"/>
        <charset val="134"/>
      </rPr>
      <t xml:space="preserve"> ETQHSD250411-001                APR. 11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</si>
  <si>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CET CO.,LTD</t>
  </si>
  <si>
    <t xml:space="preserve">11.Remark  </t>
  </si>
  <si>
    <t xml:space="preserve"> 36-30, 7-RO 5-GONGDAN,GUMI, KYUNGSANGBUKDO, </t>
  </si>
  <si>
    <t>KOREA</t>
  </si>
  <si>
    <t>NANSHA ,CHINA</t>
  </si>
  <si>
    <t>WITHIN APR.</t>
  </si>
  <si>
    <t>SILICA SOL HSD-10050              PACKING: 250KG/DRUM</t>
  </si>
  <si>
    <r>
      <rPr>
        <sz val="9"/>
        <rFont val="Times New Roman"/>
        <charset val="134"/>
      </rPr>
      <t>2025 ETQATS0902-001                     SEP.02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</si>
  <si>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NO.812-1,HYUNDAI 41  TOWER,293, MOKDONGDONG-RO</t>
  </si>
  <si>
    <t>YANGCHEON-GU,SEOUL,KOREA 0799</t>
  </si>
  <si>
    <t>XINGANG ,CHINA</t>
  </si>
  <si>
    <t>EASLINE OSAKA 2536E</t>
  </si>
  <si>
    <t>SEP. 7 2025</t>
  </si>
  <si>
    <t xml:space="preserve">AMMONIUM THIOSULFATE SOLUTION(57%)                   </t>
  </si>
  <si>
    <t>USD450/MT</t>
  </si>
  <si>
    <t>USD2,250</t>
  </si>
  <si>
    <t xml:space="preserve">9.Remarks                                                                                                                         </t>
  </si>
  <si>
    <t>15. MEASUREMENT</t>
  </si>
  <si>
    <r>
      <rPr>
        <b/>
        <sz val="9"/>
        <rFont val="Times New Roman"/>
        <charset val="134"/>
      </rPr>
      <t>PACKING</t>
    </r>
    <r>
      <rPr>
        <b/>
        <sz val="9"/>
        <rFont val="宋体"/>
        <charset val="134"/>
      </rPr>
      <t>：</t>
    </r>
    <r>
      <rPr>
        <b/>
        <sz val="9"/>
        <rFont val="Times New Roman"/>
        <charset val="134"/>
      </rPr>
      <t xml:space="preserve">250KG PER DRUM,  </t>
    </r>
  </si>
  <si>
    <t>4DRUMS PER PALLET</t>
  </si>
  <si>
    <t>20DRUMS</t>
  </si>
  <si>
    <t>7.31CBM</t>
  </si>
  <si>
    <t>HEBEI KEZHENG CHEMICAL CO., LTD.</t>
  </si>
  <si>
    <r>
      <rPr>
        <sz val="9"/>
        <rFont val="Times New Roman"/>
        <charset val="134"/>
      </rPr>
      <t>ETQHA240626-001                             JUN. 26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</si>
  <si>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r>
      <rPr>
        <sz val="9"/>
        <rFont val="Times New Roman"/>
        <charset val="134"/>
      </rPr>
      <t>KZHA240624-001                             JUN. 24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</si>
  <si>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>SKP CHEMICAL LIMITED</t>
  </si>
  <si>
    <t>SHANGHAI ,CHINA</t>
  </si>
  <si>
    <t>22 JUL. 2024</t>
  </si>
  <si>
    <r>
      <rPr>
        <b/>
        <sz val="9"/>
        <rFont val="Times New Roman"/>
        <charset val="134"/>
      </rPr>
      <t>HEPTANOIC ACID                                     PACKING</t>
    </r>
    <r>
      <rPr>
        <b/>
        <sz val="9"/>
        <rFont val="宋体"/>
        <charset val="134"/>
      </rPr>
      <t>：</t>
    </r>
    <r>
      <rPr>
        <b/>
        <sz val="9"/>
        <rFont val="Times New Roman"/>
        <charset val="134"/>
      </rPr>
      <t xml:space="preserve"> 180KG/DRUM</t>
    </r>
  </si>
  <si>
    <t>DALIAN ,CHINA</t>
  </si>
  <si>
    <t>NIIGATA TRADER 2416E</t>
  </si>
  <si>
    <t>27 MAY. 2024</t>
  </si>
  <si>
    <t>HEPTANOIC ACID                                     PACKING180KG/DRUM</t>
  </si>
  <si>
    <t>24DRUMS</t>
  </si>
  <si>
    <t>7.92CBM</t>
  </si>
  <si>
    <t>GS GLOBAL CORP</t>
  </si>
  <si>
    <r>
      <rPr>
        <sz val="9"/>
        <rFont val="Times New Roman"/>
        <charset val="134"/>
      </rPr>
      <t>GSCG2404-002                                        APR17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</si>
  <si>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>10th fl, GS TOWER 508 NONHYEON-RO GANGNAM-GU</t>
  </si>
  <si>
    <t>SEOUL</t>
  </si>
  <si>
    <t xml:space="preserve">QINGDAO </t>
  </si>
  <si>
    <t>17.APR.2024</t>
  </si>
  <si>
    <t>CRUDE GLYCERINE</t>
  </si>
  <si>
    <r>
      <rPr>
        <sz val="9"/>
        <rFont val="Times New Roman"/>
        <charset val="134"/>
      </rPr>
      <t>ETQPEG251027-001                  OCT.27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</si>
  <si>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r>
      <rPr>
        <sz val="9"/>
        <rFont val="Times New Roman"/>
        <charset val="134"/>
      </rPr>
      <t>ETQPEG251014-008                   OCT.14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</si>
  <si>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SAWASDEE ALTAIR / 2513E</t>
  </si>
  <si>
    <r>
      <rPr>
        <sz val="9"/>
        <rFont val="Times New Roman"/>
        <charset val="134"/>
      </rPr>
      <t>OCT. 31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2025</t>
    </r>
  </si>
  <si>
    <t>CNY/MT</t>
  </si>
  <si>
    <t>CNY</t>
  </si>
  <si>
    <t xml:space="preserve">PEG-200         </t>
  </si>
  <si>
    <t>PACKING: FLEXIBAG</t>
  </si>
  <si>
    <t>PEG-200                                            PACKING: FLEXIBAG</t>
  </si>
  <si>
    <t>SKLU0522563</t>
  </si>
  <si>
    <t>SKLU0519699</t>
  </si>
  <si>
    <t>2FLEXIBAG</t>
  </si>
  <si>
    <t>38CBM</t>
  </si>
  <si>
    <t>PROFORMA INVOICE</t>
  </si>
  <si>
    <r>
      <rPr>
        <sz val="9"/>
        <rFont val="Times New Roman"/>
        <charset val="134"/>
      </rPr>
      <t>LABETQ2409-001                               SEP.24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</si>
  <si>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>MCO CORPORATION</t>
  </si>
  <si>
    <t>704, 68 DIGITAL-RO, GEUMCHEON-GU, SEOUL,</t>
  </si>
  <si>
    <t xml:space="preserve">11.Remark                                                                                                         </t>
  </si>
  <si>
    <t xml:space="preserve"> REPUBLIC OF KOREA</t>
  </si>
  <si>
    <t>BENEFICIARY NAME:</t>
  </si>
  <si>
    <t xml:space="preserve"> QINGDAO EASY-TECH IMP.&amp;EXP. CO.,LTD</t>
  </si>
  <si>
    <t>BANK NAME             :</t>
  </si>
  <si>
    <t>SHINHAN BANK(CHINA), QINGDAO BRANCH</t>
  </si>
  <si>
    <t xml:space="preserve">ACCOUNT NO.         :  </t>
  </si>
  <si>
    <t>700 002 305660</t>
  </si>
  <si>
    <t xml:space="preserve">SWFIT CODE            : </t>
  </si>
  <si>
    <t>SHBKCNBJXXX</t>
  </si>
  <si>
    <r>
      <rPr>
        <sz val="8"/>
        <color theme="1"/>
        <rFont val="Arial Narrow"/>
        <charset val="134"/>
      </rPr>
      <t xml:space="preserve">BANK ADDRESS      </t>
    </r>
    <r>
      <rPr>
        <sz val="8"/>
        <color theme="1"/>
        <rFont val="Arial Unicode MS"/>
        <charset val="134"/>
      </rPr>
      <t>：</t>
    </r>
  </si>
  <si>
    <t xml:space="preserve">4F, CITIC WT SECURITIES CO.,LTD. BLDG. NO 28 </t>
  </si>
  <si>
    <t xml:space="preserve"> </t>
  </si>
  <si>
    <t>DONGHAI WEST ROAD, QINGDAO 266071,CHINA</t>
  </si>
  <si>
    <t xml:space="preserve">YANTAI </t>
  </si>
  <si>
    <t>JAPAN</t>
  </si>
  <si>
    <t>JUN.2025</t>
  </si>
  <si>
    <t>L</t>
  </si>
  <si>
    <t>USD/L</t>
  </si>
  <si>
    <t>CIF SOUL</t>
  </si>
  <si>
    <t>LAB  SAMPLE</t>
  </si>
  <si>
    <t>4L</t>
  </si>
  <si>
    <t>USD199</t>
  </si>
  <si>
    <t xml:space="preserve">                  </t>
  </si>
  <si>
    <r>
      <rPr>
        <sz val="9"/>
        <rFont val="Times New Roman"/>
        <charset val="134"/>
      </rPr>
      <t>2025ETHSD1009-001                       OCT.9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</si>
  <si>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r>
      <rPr>
        <sz val="9"/>
        <rFont val="Times New Roman"/>
        <charset val="134"/>
      </rPr>
      <t>ETQHSD250922-002                      SEP. 22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</si>
  <si>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PACIFIC CARRIER / 2520N</t>
  </si>
  <si>
    <r>
      <rPr>
        <sz val="9"/>
        <rFont val="Times New Roman"/>
        <charset val="134"/>
      </rPr>
      <t>OCT.  15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2025</t>
    </r>
  </si>
  <si>
    <t xml:space="preserve"> 36-30, 7-RO 5-GONGDAN,GUMI, KYUNGSANGBUKDO, KOREA</t>
  </si>
  <si>
    <t>N.W.</t>
  </si>
  <si>
    <t>G. W.</t>
  </si>
  <si>
    <t>SKLU1982624/HHUA024245</t>
  </si>
  <si>
    <t>10,000KGS</t>
  </si>
  <si>
    <t>10,400KGS</t>
  </si>
  <si>
    <t>40DRUMS</t>
  </si>
  <si>
    <t>25CBM</t>
  </si>
  <si>
    <r>
      <rPr>
        <sz val="9"/>
        <rFont val="Times New Roman"/>
        <charset val="134"/>
      </rPr>
      <t xml:space="preserve"> ETQHSD240131-001                               JAN.31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</si>
  <si>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>QINGDAO CHINA</t>
  </si>
  <si>
    <t>WITIN IN 10,  MAR. 2024</t>
  </si>
  <si>
    <t>CFR BUSAN, KOREA</t>
  </si>
  <si>
    <t>10MT</t>
  </si>
  <si>
    <r>
      <rPr>
        <sz val="12"/>
        <rFont val="Times New Roman"/>
        <charset val="134"/>
      </rPr>
      <t>Buyer</t>
    </r>
    <r>
      <rPr>
        <sz val="12"/>
        <rFont val="宋体"/>
        <charset val="134"/>
      </rPr>
      <t>：</t>
    </r>
    <r>
      <rPr>
        <sz val="11"/>
        <rFont val="Times New Roman"/>
        <charset val="134"/>
      </rPr>
      <t>CET CO.,LTD</t>
    </r>
  </si>
  <si>
    <t xml:space="preserve">YH INTERCOM Co., Ltd 
</t>
  </si>
  <si>
    <r>
      <rPr>
        <sz val="9"/>
        <rFont val="Times New Roman"/>
        <charset val="134"/>
      </rPr>
      <t>RU-01                                                                          SEP.27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2023</t>
    </r>
  </si>
  <si>
    <t>Jandari ro 3 An gil 44, Mapo gu, Seoul, South Korea</t>
  </si>
  <si>
    <t>ALTAIR-AUTO GMBH</t>
  </si>
  <si>
    <t>Contract: YHET-1                                                                  26.09.2023</t>
  </si>
  <si>
    <t>692770, Russian Federation, Artem, Tulskaya str, 20</t>
  </si>
  <si>
    <t>BUSAN , SOUTH KOREA</t>
  </si>
  <si>
    <t>VLADIVOSTOK, RUSSIA</t>
  </si>
  <si>
    <t>M/V LIZA</t>
  </si>
  <si>
    <t>25.OCT..2023</t>
  </si>
  <si>
    <t>UNIT</t>
  </si>
  <si>
    <t>RMB/UNIT</t>
  </si>
  <si>
    <t>RMB</t>
  </si>
  <si>
    <t>CFR  VLADIVOSTOK</t>
  </si>
  <si>
    <t xml:space="preserve">USED CAR MERCEDES BENZ
GLE 450d Coupe 4Matic
COUNTRY OF ORIGIN USA
W1NFD3DB8PA983888  
</t>
  </si>
  <si>
    <t xml:space="preserve">USED CAR MERCEDES BENZ
GLE 450d Coupe 4Matic
COUNTRY OF ORIGIN USA
W1NFD3DB1PB000124 
</t>
  </si>
  <si>
    <t xml:space="preserve">YH INTERCOM Co., Ltd </t>
  </si>
  <si>
    <r>
      <rPr>
        <sz val="9"/>
        <rFont val="Times New Roman"/>
        <charset val="134"/>
      </rPr>
      <t>RU-01                                                                     SEP.27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2023</t>
    </r>
  </si>
  <si>
    <t>2UNITS</t>
  </si>
  <si>
    <t>KG</t>
  </si>
  <si>
    <t>CBM</t>
  </si>
  <si>
    <r>
      <rPr>
        <sz val="9"/>
        <rFont val="Times New Roman"/>
        <charset val="134"/>
      </rPr>
      <t xml:space="preserve"> ETQGMS250918-001                    SEP. 18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</si>
  <si>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SEP. 2025</t>
  </si>
  <si>
    <t>GMS ( Glycerol MonoStearate )</t>
  </si>
  <si>
    <t>STEARIC ACID 1838</t>
  </si>
  <si>
    <t>12MT</t>
  </si>
  <si>
    <r>
      <rPr>
        <sz val="9"/>
        <rFont val="Times New Roman"/>
        <charset val="134"/>
      </rPr>
      <t>2025ETQGMS1010-001               OCT. 10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</si>
  <si>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r>
      <rPr>
        <sz val="9"/>
        <rFont val="Times New Roman"/>
        <charset val="134"/>
      </rPr>
      <t xml:space="preserve"> ETQGMS250918-001                     SEP. 18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</si>
  <si>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SHANGHAI,CHINA</t>
  </si>
  <si>
    <t xml:space="preserve">EASLINE KWANGYANG   2540E </t>
  </si>
  <si>
    <t>OCT.12, 2025</t>
  </si>
  <si>
    <t xml:space="preserve">STEARIC ACID </t>
  </si>
  <si>
    <t>12.Quantity  (BAG)</t>
  </si>
  <si>
    <t>13.NET WEIGHT  (KGS)</t>
  </si>
  <si>
    <t>14.GROSS WEIGHT (KGS)</t>
  </si>
  <si>
    <t>BAG</t>
  </si>
  <si>
    <t xml:space="preserve">GMS  (Glycerol MonoStearate )                              </t>
  </si>
  <si>
    <t>PACKING: 25KG/BAG</t>
  </si>
  <si>
    <t>480BAGS</t>
  </si>
  <si>
    <t>24CBM</t>
  </si>
  <si>
    <t>2024VP0126-001                                      JAN.26, 2024</t>
  </si>
  <si>
    <r>
      <rPr>
        <sz val="9"/>
        <rFont val="Times New Roman"/>
        <charset val="134"/>
      </rPr>
      <t xml:space="preserve"> ETQVP240118-001                                 JAN. 18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</si>
  <si>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 xml:space="preserve">LOTTE CHEMICAL CORP.    </t>
  </si>
  <si>
    <t xml:space="preserve">15FL, LOTTE WORLD TOWER, 300,OLYMPIC-RO, SONGPA-GU, </t>
  </si>
  <si>
    <t>SEOUL, 05551KOREA</t>
  </si>
  <si>
    <t>SHANGHAI PORT</t>
  </si>
  <si>
    <t>HYUNDAI EARTH 0044E</t>
  </si>
  <si>
    <t>31. MAR. 2024</t>
  </si>
  <si>
    <t>USD/KG</t>
  </si>
  <si>
    <t xml:space="preserve">CIF BUSAN  </t>
  </si>
  <si>
    <t>Vanadium pentoxide powder99.6%</t>
  </si>
  <si>
    <t xml:space="preserve">BENEFICIARY NAME ：QINGDAO EASY-TECH IMP.&amp;EXP. CO.,LTD                                                                   </t>
  </si>
  <si>
    <t>BANK NAME            : SHINHAN BANK(CHINA), QINGDAO BRANCH</t>
  </si>
  <si>
    <t>ACCOUNT NO.         : 700 002 305660</t>
  </si>
  <si>
    <t>SWFIT CODE            : SHBKCNBJXXX</t>
  </si>
  <si>
    <t xml:space="preserve">BANK ADDRESS       ：4F, CITIC WT SECURITIES CO.,LTD. BLDG. NO 28 DONGHAI WEST ROAD, </t>
  </si>
  <si>
    <t>QINGDAO 266071, CHINA</t>
  </si>
  <si>
    <t>2024VP0126-001                                  JAN.26, 2024</t>
  </si>
  <si>
    <t xml:space="preserve">9.Remarks                                                                                                                                                                                                                  </t>
  </si>
  <si>
    <t>5 MAR. 2024</t>
  </si>
  <si>
    <t>7DRUMS</t>
  </si>
  <si>
    <t>2.78CBM</t>
  </si>
  <si>
    <t xml:space="preserve">CONTRACT NO. : </t>
  </si>
  <si>
    <t xml:space="preserve"> ETATS221031-001</t>
  </si>
  <si>
    <t>DATE:31 OCT. 2022</t>
  </si>
  <si>
    <t>ACCOUNTEE      :</t>
  </si>
  <si>
    <t>LG H&amp;H CO.,LTD</t>
  </si>
  <si>
    <t>LG GWANGHWAMOON BUILDING, 92, SINMUNNO2GA,JONGNO-GU,</t>
  </si>
  <si>
    <t xml:space="preserve">Korea  07997 </t>
  </si>
  <si>
    <t>LOADING PORT :</t>
  </si>
  <si>
    <t>DISCHARGE PORT :</t>
  </si>
  <si>
    <t>INCHON PORT, KOREA</t>
  </si>
  <si>
    <t>TRADE TERMS :</t>
  </si>
  <si>
    <t>CIF</t>
  </si>
  <si>
    <t>PAYMENT TERM :</t>
  </si>
  <si>
    <t>T/T IN ADCANCE</t>
  </si>
  <si>
    <t xml:space="preserve">SHIPMENT : </t>
  </si>
  <si>
    <t>NOV. 2022</t>
  </si>
  <si>
    <t>DESCRIPTION</t>
  </si>
  <si>
    <t>PACKING  (KG/DRUM)</t>
  </si>
  <si>
    <t>UNIT PRICE
(USD/MT)</t>
  </si>
  <si>
    <t xml:space="preserve"> QUANTITY
(MT)</t>
  </si>
  <si>
    <t xml:space="preserve">  AMOUNT
(USD)</t>
  </si>
  <si>
    <t xml:space="preserve">Ammonium thiosulfate solution  ( 57% ） </t>
  </si>
  <si>
    <t>BANK NAME            :   SHINHAN BANK(CHINA), QINGDAO BRANCH</t>
  </si>
  <si>
    <t>SELLER :</t>
  </si>
  <si>
    <t>BUYER</t>
  </si>
  <si>
    <t xml:space="preserve">QINGDAO EASY-TECH IMP.&amp;EXP. CO.,LTD                                                                   </t>
  </si>
  <si>
    <r>
      <rPr>
        <sz val="9"/>
        <rFont val="Times New Roman"/>
        <charset val="134"/>
      </rPr>
      <t xml:space="preserve"> ETQMA230630-001                                            JUN.30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2023</t>
    </r>
  </si>
  <si>
    <t xml:space="preserve">LG GWANGHWAMOON BUILDING, 92, SINMUNNO2GA, </t>
  </si>
  <si>
    <t>JONGNO-GU, SEOUL 110-062, KOREA</t>
  </si>
  <si>
    <t>DAEJOEN</t>
  </si>
  <si>
    <t>10.JUL.2023</t>
  </si>
  <si>
    <t>CIF SEOUL</t>
  </si>
  <si>
    <t>Monochloroacetic Acid</t>
  </si>
  <si>
    <r>
      <rPr>
        <sz val="9"/>
        <rFont val="Times New Roman"/>
        <charset val="134"/>
      </rPr>
      <t>Seller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QINGDAO EASY-TECH IMP.&amp;EXP. CO.,LTD</t>
    </r>
  </si>
  <si>
    <r>
      <rPr>
        <sz val="12"/>
        <rFont val="Times New Roman"/>
        <charset val="134"/>
      </rPr>
      <t>Buyer</t>
    </r>
    <r>
      <rPr>
        <sz val="12"/>
        <rFont val="宋体"/>
        <charset val="134"/>
      </rPr>
      <t>：</t>
    </r>
    <r>
      <rPr>
        <sz val="12"/>
        <rFont val="Times New Roman"/>
        <charset val="134"/>
      </rPr>
      <t>LG H&amp;H CO.,LTD</t>
    </r>
  </si>
  <si>
    <t>2022IPA0922-001                                        SEP.22, 2022</t>
  </si>
  <si>
    <t>QDET20220922TL                                     SEP.22, 2022</t>
  </si>
  <si>
    <t>TL HOLDINGS CO.,LTD</t>
  </si>
  <si>
    <t xml:space="preserve">NO.1403, NO.101 LOTTE CASTLE PRESIDENT BLDG.,467, </t>
  </si>
  <si>
    <t>GONGDEOK-DONG, MAPO-GU, SEOUL, KOREA</t>
  </si>
  <si>
    <t>ZHANGJIAGANG PORT</t>
  </si>
  <si>
    <t>OCT. 9, 2022</t>
  </si>
  <si>
    <t>PRICE TERMS:</t>
  </si>
  <si>
    <t>FOB ZHANGJIAGANG</t>
  </si>
  <si>
    <t>COMMODITY: ISOPROPYL  ALCOHOL</t>
  </si>
  <si>
    <r>
      <rPr>
        <b/>
        <sz val="9"/>
        <rFont val="Times New Roman"/>
        <charset val="134"/>
      </rPr>
      <t>QUANTITY</t>
    </r>
    <r>
      <rPr>
        <b/>
        <sz val="9"/>
        <rFont val="宋体"/>
        <charset val="134"/>
      </rPr>
      <t>：</t>
    </r>
    <r>
      <rPr>
        <b/>
        <sz val="9"/>
        <rFont val="Times New Roman"/>
        <charset val="134"/>
      </rPr>
      <t>132MT</t>
    </r>
  </si>
  <si>
    <t>PACKING:IN  TANK</t>
  </si>
  <si>
    <t>COUNTRY OF ORIGIN: CHINA</t>
  </si>
  <si>
    <t>USD1,070/MT</t>
  </si>
  <si>
    <t>2022IPA0922-001                                     SEP.22, 2022</t>
  </si>
  <si>
    <t>QUANTITY:132MT</t>
  </si>
  <si>
    <t>200CBM</t>
  </si>
  <si>
    <r>
      <rPr>
        <sz val="9"/>
        <rFont val="Times New Roman"/>
        <charset val="134"/>
      </rPr>
      <t>2024EU03-001                                   MAR. 18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2024</t>
    </r>
  </si>
  <si>
    <r>
      <rPr>
        <sz val="9"/>
        <rFont val="Times New Roman"/>
        <charset val="134"/>
      </rPr>
      <t>ETQEU240313-001                          MAR. 13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2024</t>
    </r>
  </si>
  <si>
    <t>CHEMIWAY CO., LTD.</t>
  </si>
  <si>
    <t>#626, 358-39, HOSU-RO, ILSANDONG-GU, GOYANG-SI,</t>
  </si>
  <si>
    <t>GYEONGGI-DO, KOREA</t>
  </si>
  <si>
    <r>
      <rPr>
        <sz val="9"/>
        <rFont val="Times New Roman"/>
        <charset val="134"/>
      </rPr>
      <t>XINGANG  PORT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 CHINA</t>
    </r>
  </si>
  <si>
    <t>INCHON PORT</t>
  </si>
  <si>
    <t>XINHEDA  2642E</t>
  </si>
  <si>
    <r>
      <rPr>
        <sz val="9"/>
        <rFont val="Times New Roman"/>
        <charset val="134"/>
      </rPr>
      <t>MAR. 21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2024</t>
    </r>
  </si>
  <si>
    <t>CIF BUSAN  PORT, SOUTH KOREA</t>
  </si>
  <si>
    <t>COMMODITY:ETHYLENE UREA(E-215)</t>
  </si>
  <si>
    <t>QUANTITY:1MT</t>
  </si>
  <si>
    <t>PACKING: 25KG PER BAG</t>
  </si>
  <si>
    <t>1MT</t>
  </si>
  <si>
    <t>USD6,700/MT</t>
  </si>
  <si>
    <t>USD6,700.00</t>
  </si>
  <si>
    <t>ETHYLENE UREA(E-215)</t>
  </si>
  <si>
    <t>QUANTITY: 1MT</t>
  </si>
  <si>
    <t>PACKED IN BAG</t>
  </si>
  <si>
    <t>40BAG</t>
  </si>
  <si>
    <t>1.8CBM</t>
  </si>
  <si>
    <r>
      <rPr>
        <sz val="9"/>
        <rFont val="Times New Roman"/>
        <charset val="134"/>
      </rPr>
      <t>2020FS0122-001                                 JAN. 22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2021</t>
    </r>
  </si>
  <si>
    <t xml:space="preserve">AERO Thermal Insulation
</t>
  </si>
  <si>
    <t xml:space="preserve">506-2 5F, Pangyo Urim W-City 9-22,  Pangyo-ro 255beon-gil, 
</t>
  </si>
  <si>
    <t xml:space="preserve">Bundang-gu,  Seongnam-si, Gyeonggi-do, Republic of Korea
</t>
  </si>
  <si>
    <t>SHENZHEN</t>
  </si>
  <si>
    <t>SEONGNAM</t>
  </si>
  <si>
    <r>
      <rPr>
        <sz val="9"/>
        <rFont val="Times New Roman"/>
        <charset val="134"/>
      </rPr>
      <t>JAN 25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2021</t>
    </r>
  </si>
  <si>
    <t>N/M</t>
  </si>
  <si>
    <t>FUMED SILICA</t>
  </si>
  <si>
    <t>USD360</t>
  </si>
  <si>
    <r>
      <rPr>
        <sz val="9"/>
        <rFont val="Times New Roman"/>
        <charset val="134"/>
      </rPr>
      <t>2020NBL1023001                                      OCT. 23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2020</t>
    </r>
  </si>
  <si>
    <t xml:space="preserve">MedtechBOSS Pte Ltd
</t>
  </si>
  <si>
    <t xml:space="preserve">2985 Jalan Bukit Merah, #01-1C, Singapore Manufacturing Federation, 
</t>
  </si>
  <si>
    <t>Singapore 159457</t>
  </si>
  <si>
    <t xml:space="preserve">WRP Asia Pacific Sdn Bhd
</t>
  </si>
  <si>
    <t>Lot 1, Jalan 3, Kawasan Perusahaan, Bandar Baru Salak Tinggi,</t>
  </si>
  <si>
    <t xml:space="preserve">43900 Sepang, Selangor, Malaysia
</t>
  </si>
  <si>
    <t xml:space="preserve">Mobile: +60 17 518 3533 </t>
  </si>
  <si>
    <t>Malaysia</t>
  </si>
  <si>
    <t>NBR LATEX-DJ301</t>
  </si>
  <si>
    <t>5KG</t>
  </si>
  <si>
    <t>6KG</t>
  </si>
  <si>
    <t>QUANTITY:62.40MT</t>
  </si>
  <si>
    <t>PACKING  :IN PLASTIC DRUM</t>
  </si>
  <si>
    <r>
      <rPr>
        <sz val="9"/>
        <rFont val="Times New Roman"/>
        <charset val="134"/>
      </rPr>
      <t>2020NBL1126001                                       NOV . 26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2020</t>
    </r>
  </si>
  <si>
    <t>QINGDAO PORT</t>
  </si>
  <si>
    <t>KLANG, MALAYSIA</t>
  </si>
  <si>
    <r>
      <rPr>
        <sz val="9"/>
        <rFont val="Times New Roman"/>
        <charset val="134"/>
      </rPr>
      <t>DEC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2020</t>
    </r>
  </si>
  <si>
    <t>USD/KMT</t>
  </si>
  <si>
    <t>QUANTITY:210MT(+/-5%)</t>
  </si>
  <si>
    <t>PACKING  IN FLEXIBAG</t>
  </si>
  <si>
    <t>USD861,000.000</t>
  </si>
  <si>
    <r>
      <rPr>
        <sz val="9"/>
        <rFont val="Times New Roman"/>
        <charset val="134"/>
      </rPr>
      <t>2020NBL1209-001                                       DEC. 9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2020</t>
    </r>
  </si>
  <si>
    <t xml:space="preserve"> ISU EXACHEM CO.,LTD
</t>
  </si>
  <si>
    <t xml:space="preserve"> ISU  CHEMICAL BLDG.84, SAPYEONG-DAERO, SEOCHO-GU, 
</t>
  </si>
  <si>
    <t xml:space="preserve">SEOUL ,KOREA </t>
  </si>
  <si>
    <t>QINGDAO  PORT, CHINA</t>
  </si>
  <si>
    <t>DEC.12,  2020</t>
  </si>
  <si>
    <t>DDP  KOREA</t>
  </si>
  <si>
    <t xml:space="preserve">NBR LATEX-QD101 </t>
  </si>
  <si>
    <t>QUANTITY:30KG</t>
  </si>
  <si>
    <t>USD120</t>
  </si>
  <si>
    <r>
      <rPr>
        <sz val="9"/>
        <rFont val="Times New Roman"/>
        <charset val="134"/>
      </rPr>
      <t>2020NBL0925001                                           SEP. 25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2020</t>
    </r>
  </si>
  <si>
    <t xml:space="preserve">NBR LATEX-QN03 </t>
  </si>
  <si>
    <t>30KG</t>
  </si>
  <si>
    <t>35KG</t>
  </si>
  <si>
    <t>PACKING  :IN DRUM</t>
  </si>
  <si>
    <t>2DRUM/BOX</t>
  </si>
  <si>
    <t>6DRUM</t>
  </si>
  <si>
    <t>66CBM</t>
  </si>
  <si>
    <t>2021EU0223- 001                                                FEB.23, 2021</t>
  </si>
  <si>
    <t>ETQEU210205-001                                             FEB.5, 2021</t>
  </si>
  <si>
    <t>11.Remark                                                                                                                PAYMENT: T/T IN ADVANCE</t>
  </si>
  <si>
    <t>TIANJIN  PORT, CHINA</t>
  </si>
  <si>
    <t>INCHON PORT ,KOREA</t>
  </si>
  <si>
    <t>BEI JIANG 2109E</t>
  </si>
  <si>
    <t>FEB.27,  2021</t>
  </si>
  <si>
    <t>CIF INCHON PORT , KOREA</t>
  </si>
  <si>
    <t>MADE IN CHINA</t>
  </si>
  <si>
    <t>5000KG</t>
  </si>
  <si>
    <t>USD44,000.00</t>
  </si>
  <si>
    <t>200BAGS</t>
  </si>
  <si>
    <t>5040KG</t>
  </si>
  <si>
    <t>5CBM</t>
  </si>
  <si>
    <t>25KG PER BAG</t>
  </si>
  <si>
    <t>2CBM</t>
  </si>
  <si>
    <t>2019AO1206- 001                                                DEC.06, 2019</t>
  </si>
  <si>
    <t>ET1911S001                                                         NOV. 13, 2019</t>
  </si>
  <si>
    <t>HIGH LOGISTICS LIMITED PARTNERSHIP</t>
  </si>
  <si>
    <t xml:space="preserve">SUIT 260, 2323-32, AVENUE N.E. CALGARY, </t>
  </si>
  <si>
    <t>ALBERTA T2E 6Z3, CANADA</t>
  </si>
  <si>
    <t>SHANGHAI  PORT, CHINA</t>
  </si>
  <si>
    <t>BANDAR ABBAS</t>
  </si>
  <si>
    <t>ABYAN  V.1259W</t>
  </si>
  <si>
    <t>DEC.12,  2019</t>
  </si>
  <si>
    <t>EUR/MT</t>
  </si>
  <si>
    <t>EUR</t>
  </si>
  <si>
    <t>FOB SHANGHAI PORT, CHINA</t>
  </si>
  <si>
    <t>ANTIOXIDANT JYANOX-626</t>
  </si>
  <si>
    <t>22.5MT</t>
  </si>
  <si>
    <t>EUR117,000.00</t>
  </si>
  <si>
    <t>900CTNS</t>
  </si>
  <si>
    <t>22500KG</t>
  </si>
  <si>
    <t>24300KG</t>
  </si>
  <si>
    <t>45CBM</t>
  </si>
  <si>
    <t>25KG PER CARTON</t>
  </si>
  <si>
    <t>CONTAINER NO./SEAL NO.: PARU5066059/ES0134981</t>
  </si>
  <si>
    <t>900CNS</t>
  </si>
  <si>
    <t>2019BP1113-001                                            NOV.13, 2019</t>
  </si>
  <si>
    <t>ET1910S001                                                       SEP. 10, 2019</t>
  </si>
  <si>
    <t xml:space="preserve">GREEN CHEMICAL CO., LTD
</t>
  </si>
  <si>
    <t>103, DOKGOT 2-RO, DAESAN-EUP, SEOSAN-SI,</t>
  </si>
  <si>
    <t>CHUNGCHEONGNAM-DO, SOUTH KOREA</t>
  </si>
  <si>
    <t>XINGANG  PORT, CHINA</t>
  </si>
  <si>
    <t>INCHON  PORT, S.  KOREA</t>
  </si>
  <si>
    <t>FAR EAST GRACE  2415E</t>
  </si>
  <si>
    <t>NOV.13,  2019</t>
  </si>
  <si>
    <t>RMB/MT</t>
  </si>
  <si>
    <t>CIF INCHON  PORT, S. KOREA</t>
  </si>
  <si>
    <t>9,9-BIS(4-(2-HYDROXYETHOXY)PHENYL)FLUORENE</t>
  </si>
  <si>
    <t>CAS No.: 117344-32-8</t>
  </si>
  <si>
    <t>APEARANCE : WHITE CRYLSTAL</t>
  </si>
  <si>
    <t>PURITY, HPLC,% : 98.5MIN</t>
  </si>
  <si>
    <t>VOLATILE COMPONENT, 5% : 0.5MAX</t>
  </si>
  <si>
    <t>MELT RANG, °C : 160.00-166.00</t>
  </si>
  <si>
    <t>APHA: HAZEN : 15MAX</t>
  </si>
  <si>
    <t>9MT</t>
  </si>
  <si>
    <t>RMB114000/MT</t>
  </si>
  <si>
    <t>RMB1,026,000</t>
  </si>
  <si>
    <t>30BAGS</t>
  </si>
  <si>
    <t>9000KG</t>
  </si>
  <si>
    <t>9075KG</t>
  </si>
  <si>
    <t>300KGS PER BAG</t>
  </si>
  <si>
    <t>2018PT0511-001                                              MAY.11, 2018</t>
  </si>
  <si>
    <t xml:space="preserve">ROOM 1118, CELEBRITY INTERNATIONAL NO.2 </t>
  </si>
  <si>
    <t xml:space="preserve">BUILDING, NO.39 SHILINGROAD, LAOSHAN DISTRICT, </t>
  </si>
  <si>
    <t>QINGDAO, CHINA</t>
  </si>
  <si>
    <t xml:space="preserve">SKP CHEMICAL CO.,LTD
</t>
  </si>
  <si>
    <t xml:space="preserve">LEVEL5, DEVELOPMENT BANK OF SAMOA BUILDING, </t>
  </si>
  <si>
    <t>BEACH ROAD, APIA, SAMOA</t>
  </si>
  <si>
    <t xml:space="preserve">JSC CO.,LTD. 
            </t>
  </si>
  <si>
    <t xml:space="preserve"> 727, HYUNDAI PARKVILE, GURO-DONG, 41, GONGWEN-RO, 
</t>
  </si>
  <si>
    <t>GURO-GU, SEOUL, KOREA</t>
  </si>
  <si>
    <t>XINGANG  PORT IN  CHINA</t>
  </si>
  <si>
    <t>BUSAN  PORT, S.  KOREA</t>
  </si>
  <si>
    <t>QIYUNHE 0643E</t>
  </si>
  <si>
    <t>MAY.18,  2018</t>
  </si>
  <si>
    <t>VEGETABLE PITCH</t>
  </si>
  <si>
    <r>
      <rPr>
        <b/>
        <sz val="9"/>
        <rFont val="Times New Roman"/>
        <charset val="134"/>
      </rPr>
      <t>QUANTITY</t>
    </r>
    <r>
      <rPr>
        <b/>
        <sz val="9"/>
        <rFont val="宋体"/>
        <charset val="134"/>
      </rPr>
      <t>：</t>
    </r>
    <r>
      <rPr>
        <b/>
        <sz val="9"/>
        <rFont val="Times New Roman"/>
        <charset val="134"/>
      </rPr>
      <t>199.99MT</t>
    </r>
  </si>
  <si>
    <t>PACKED IN FLEXIBAG</t>
  </si>
  <si>
    <t>CONTAINER NO./SEAL NO.</t>
  </si>
  <si>
    <t>YKTU2310147/KITOTJ1280</t>
  </si>
  <si>
    <t>YKTU2310126/KITOTJ1275</t>
  </si>
  <si>
    <t>YKTU2310091/KITOTJ1274</t>
  </si>
  <si>
    <t>YKTU2551904/KITOTJ1277</t>
  </si>
  <si>
    <t>NNAU2550148/KITOTJ1278</t>
  </si>
  <si>
    <t>CAIU3272895/KITOTJ1279</t>
  </si>
  <si>
    <t>YKTU2550560/KITOTJ1276</t>
  </si>
  <si>
    <t>YKTU2553580/KITOTJ1273</t>
  </si>
  <si>
    <t>YKTU2310300/KITOTJ1272</t>
  </si>
  <si>
    <t>YKTU2210507/KITOTJ1271</t>
  </si>
  <si>
    <t>199,990KG</t>
  </si>
  <si>
    <t>201,090KG</t>
  </si>
  <si>
    <t>240CBM</t>
  </si>
  <si>
    <t>TO:GKF CO.,LTD</t>
  </si>
  <si>
    <t>QINGDAO EASY-TECH IMP.&amp;EXP. CO.,LTD.</t>
  </si>
  <si>
    <t>2025MFA1120-001                                             NOV. 20, 2025</t>
  </si>
  <si>
    <r>
      <rPr>
        <sz val="9"/>
        <rFont val="Times New Roman"/>
        <charset val="134"/>
      </rPr>
      <t>M04FU2511NU00018                                         NOV. 13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</si>
  <si>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ETQMFA251112-001                                         NOV.11 , 2025</t>
  </si>
  <si>
    <t xml:space="preserve">GKF CO.,LTD
</t>
  </si>
  <si>
    <t>110, EUTTEUM-RO, DEOGANG-GU, GOYANG-SI, GYEONGGI-</t>
  </si>
  <si>
    <t>DO, REPUBLIC OF KOREA 10543</t>
  </si>
  <si>
    <t xml:space="preserve"> 110, EUTTEUM-RO, DEOGANG-GU, GOYANG-SI, GYEONGGI-</t>
  </si>
  <si>
    <t>QINGDAO PORT,CHINA</t>
  </si>
  <si>
    <t>BUSAN  PORT, SOUTH KOREA</t>
  </si>
  <si>
    <t>EASLINE DALIAN/2548E</t>
  </si>
  <si>
    <r>
      <rPr>
        <sz val="9"/>
        <rFont val="Times New Roman"/>
        <charset val="134"/>
      </rPr>
      <t>NOV. 30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>2025</t>
    </r>
  </si>
  <si>
    <t>COMMODITY: MIXED FATTY ACID</t>
  </si>
  <si>
    <r>
      <rPr>
        <b/>
        <sz val="9"/>
        <rFont val="Times New Roman"/>
        <charset val="134"/>
      </rPr>
      <t>QUANTITY</t>
    </r>
    <r>
      <rPr>
        <b/>
        <sz val="9"/>
        <rFont val="宋体"/>
        <charset val="134"/>
      </rPr>
      <t>：</t>
    </r>
    <r>
      <rPr>
        <b/>
        <sz val="9"/>
        <rFont val="Times New Roman"/>
        <charset val="134"/>
      </rPr>
      <t>100MT</t>
    </r>
  </si>
  <si>
    <t>PACKING:IN  FLEXIBAG</t>
  </si>
  <si>
    <t>100MT</t>
  </si>
  <si>
    <t>USD 705/MT</t>
  </si>
  <si>
    <t xml:space="preserve">  </t>
  </si>
  <si>
    <t xml:space="preserve">9.Remarks                                                                                                             LC NO.: M04FU2511NU00018                                                                                                                             </t>
  </si>
  <si>
    <t>SPSU2034292/PESU0125381</t>
  </si>
  <si>
    <t>22CBM</t>
  </si>
  <si>
    <t>SLPU2040770/PESU0125349</t>
  </si>
  <si>
    <t>SEKU1777160/PESU0125348</t>
  </si>
  <si>
    <t>SPSU2013601/PESU0115330</t>
  </si>
  <si>
    <t>SEKU1776498/PESU0115321</t>
  </si>
  <si>
    <t>5 Flexibag</t>
  </si>
  <si>
    <t>100,000KG</t>
  </si>
  <si>
    <t>100,550KG</t>
  </si>
  <si>
    <t>110CBM</t>
  </si>
  <si>
    <t>2025MFA1125-001                                             NOV. 25, 2025</t>
  </si>
  <si>
    <t>WEIFANG PORT, CHINA</t>
  </si>
  <si>
    <t xml:space="preserve">OSG BOSSTEC/2502E </t>
  </si>
  <si>
    <t xml:space="preserve">9.Remarks                                                                                                           LC NO.:M04FU2511NU00018                                                                                                                              </t>
  </si>
  <si>
    <t>LYGU3153618/17196</t>
  </si>
  <si>
    <t>LYGU3142017/17385</t>
  </si>
  <si>
    <t>LYGU3152910/17386</t>
  </si>
  <si>
    <t>LYGU3146115/17384</t>
  </si>
  <si>
    <t>LYGU3149428/15266</t>
  </si>
  <si>
    <t>100,500KG</t>
  </si>
  <si>
    <t>125CBM</t>
  </si>
  <si>
    <t>2021MFA0628-001                                            JUN.28, 2021</t>
  </si>
  <si>
    <t>ETQMFA210621-001                                   JUN.21, 2021</t>
  </si>
  <si>
    <t xml:space="preserve">VINALINES DIAMOND 2120E </t>
  </si>
  <si>
    <t>JUL.05,  2021</t>
  </si>
  <si>
    <t>QUANTITY:211.79MT</t>
  </si>
  <si>
    <t>211.79MT</t>
  </si>
  <si>
    <t>USD680/MT</t>
  </si>
  <si>
    <t>USD144,017.20</t>
  </si>
  <si>
    <t>2021MFA0628-001                                      JUN.28, 2021</t>
  </si>
  <si>
    <t>QUANTITY: 211.790MT</t>
  </si>
  <si>
    <t xml:space="preserve">SKLU2023917/373949  </t>
  </si>
  <si>
    <t>23CBM</t>
  </si>
  <si>
    <t>SKLU1105878/373942</t>
  </si>
  <si>
    <t>TRHU1809811/373948</t>
  </si>
  <si>
    <t>SKLU2103756/373946</t>
  </si>
  <si>
    <t xml:space="preserve">CXDU1002523/373950 </t>
  </si>
  <si>
    <t xml:space="preserve">TGHU0905022/373944 </t>
  </si>
  <si>
    <t>SKLU1824784/373943</t>
  </si>
  <si>
    <t xml:space="preserve">TEMU1167955/373941 </t>
  </si>
  <si>
    <t>HMMU2003185/373945</t>
  </si>
  <si>
    <t xml:space="preserve">SKLU1525124/373947 </t>
  </si>
  <si>
    <t>230CBM</t>
  </si>
  <si>
    <t xml:space="preserve"> INVOICE</t>
  </si>
  <si>
    <t>INVOICE NO. : ET190412002</t>
  </si>
  <si>
    <t>INCOICE DATE: APR. 12, 2019</t>
  </si>
  <si>
    <t xml:space="preserve">ATTN: </t>
  </si>
  <si>
    <t>Beneficiary   : QINGDAO EASY-TECH IMP.&amp;EXP. CO.,LTD</t>
  </si>
  <si>
    <t>UCO TRADING SPAIN S.L</t>
  </si>
  <si>
    <t>BANK         ：SHINHAN BANK(CHINA), QINGDAO BRANCH</t>
  </si>
  <si>
    <t xml:space="preserve">DOCTOR CASAL Nº 4 3º D33001- </t>
  </si>
  <si>
    <t>Account No.：700 002 305660</t>
  </si>
  <si>
    <t>OVIEDO (ASTURIAS) SPAIN</t>
  </si>
  <si>
    <t>Swift Code   ：SHBKCNBJXXX</t>
  </si>
  <si>
    <t xml:space="preserve">Bank Address：4F, CITIC WT SECURITIES CO.,LTD. BLDG. NO 28    </t>
  </si>
  <si>
    <t xml:space="preserve">DONGHAI WEST ROAD, QINGDAO, 266071, </t>
  </si>
  <si>
    <t>CHINA</t>
  </si>
  <si>
    <t>Description</t>
  </si>
  <si>
    <t>Q'ty</t>
  </si>
  <si>
    <t>Unit Price</t>
  </si>
  <si>
    <t>Amount</t>
  </si>
  <si>
    <t>COMMISSION  FOR CRUDE GLYCERINE</t>
  </si>
  <si>
    <t xml:space="preserve">  * DETAILS AS BELOW: </t>
  </si>
  <si>
    <t>CONTRACT  NO. PV14-2019:</t>
  </si>
  <si>
    <t>ET1909S002                                                     SEP.25, 2019</t>
  </si>
  <si>
    <r>
      <rPr>
        <sz val="9"/>
        <rFont val="Times New Roman"/>
        <charset val="134"/>
      </rPr>
      <t xml:space="preserve">RM A 903, ART&amp; TECHNOLOGY SPACE, NO. </t>
    </r>
    <r>
      <rPr>
        <sz val="9"/>
        <rFont val="Times New Roman"/>
        <charset val="134"/>
      </rPr>
      <t xml:space="preserve">63, </t>
    </r>
  </si>
  <si>
    <t>ET1909S002                                                SEP.16, 2019</t>
  </si>
  <si>
    <t xml:space="preserve">MEK INDUSTRIAL TECHNOLOGY PTE. LTD.
</t>
  </si>
  <si>
    <t>176 JOO CHIAT ROAD #02-02 SINGAPORE 427447</t>
  </si>
  <si>
    <t>AS ABOVE</t>
  </si>
  <si>
    <t>BEIJING , CHINA</t>
  </si>
  <si>
    <t>TASHKENT</t>
  </si>
  <si>
    <t>LH8431</t>
  </si>
  <si>
    <t>SEP. 28,  2019</t>
  </si>
  <si>
    <t>16.Total Amount</t>
  </si>
  <si>
    <t>CFR TASHKENT</t>
  </si>
  <si>
    <t>JYANOX-626</t>
  </si>
  <si>
    <t>80KGS</t>
  </si>
  <si>
    <t>90KGS</t>
  </si>
  <si>
    <t>TO:PACIFIC BIO CO.,LTD</t>
  </si>
  <si>
    <t>2017PT0928-001                                                     SEP .28, 2017</t>
  </si>
  <si>
    <t xml:space="preserve">Room1118, Celebrity International No.2 Building, No.39 Shiling 
</t>
  </si>
  <si>
    <t xml:space="preserve">Road, Laoshan district,Qingdao,China </t>
  </si>
  <si>
    <t>AEKYUNG PETROCHEMICAL</t>
  </si>
  <si>
    <r>
      <rPr>
        <sz val="9"/>
        <rFont val="Times New Roman"/>
        <charset val="134"/>
      </rPr>
      <t>81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SANGGAE RO, MAM-GU, ULSAN ,KOREA</t>
    </r>
  </si>
  <si>
    <t xml:space="preserve">THE SAME </t>
  </si>
  <si>
    <t>ULSAN ,KOREA</t>
  </si>
  <si>
    <t>SEP. 28, 2017</t>
  </si>
  <si>
    <t>CIF INCHON</t>
  </si>
  <si>
    <t>HS COE: 3807003000</t>
  </si>
  <si>
    <t>2017PT0814-001                                              AUG.14, 2017</t>
  </si>
  <si>
    <t>M88ST1708NU00025                                       AUG.04, 2017</t>
  </si>
  <si>
    <t>ETQDPT170724-001                                         JUL. 24, 2017</t>
  </si>
  <si>
    <r>
      <rPr>
        <sz val="9"/>
        <rFont val="Times New Roman"/>
        <charset val="134"/>
      </rPr>
      <t xml:space="preserve">SKP CHEMICAL CO.,LTD
            </t>
    </r>
    <r>
      <rPr>
        <sz val="9"/>
        <rFont val="Times New Roman"/>
        <charset val="134"/>
      </rPr>
      <t xml:space="preserve">
</t>
    </r>
  </si>
  <si>
    <t xml:space="preserve">Level 5, Development Bank of Samoa Building, Beach Road, Apia,
</t>
  </si>
  <si>
    <t>Samoa</t>
  </si>
  <si>
    <t xml:space="preserve">OILTECH CO.,LTD
</t>
  </si>
  <si>
    <t>18 SINCHEON-RO 25BEAN-GIL SIHEUNG-SI</t>
  </si>
  <si>
    <t xml:space="preserve"> GYEONGGI-DO  KOREA</t>
  </si>
  <si>
    <t>TIANJIN PORT, CHINA</t>
  </si>
  <si>
    <t>INCHEON PORT,  KOREA</t>
  </si>
  <si>
    <t>KANGPING 2298E</t>
  </si>
  <si>
    <t>AUG.16,  2017</t>
  </si>
  <si>
    <t>CIF INCHEON PORT</t>
  </si>
  <si>
    <t>HS COE: 380700</t>
  </si>
  <si>
    <t>PACKING:IN  FLEXI BAG</t>
  </si>
  <si>
    <t>DETAILS AS PER OFFER NO.: SKPCPT170720-002</t>
  </si>
  <si>
    <t xml:space="preserve">9.Remarks                                                                                                               LC NO.:M88ST1708NU00025 </t>
  </si>
  <si>
    <t>QUANTITY:95.770MT</t>
  </si>
  <si>
    <t xml:space="preserve">                                                             </t>
  </si>
  <si>
    <t>CONTAINER NO.</t>
  </si>
  <si>
    <t xml:space="preserve">SEGU2143946 </t>
  </si>
  <si>
    <t xml:space="preserve">SEGU2146950  </t>
  </si>
  <si>
    <t>FCIU3817484</t>
  </si>
  <si>
    <t xml:space="preserve"> FCIU5944831   </t>
  </si>
  <si>
    <t xml:space="preserve"> TRHU3466795 </t>
  </si>
  <si>
    <t>95770KG</t>
  </si>
  <si>
    <t>96320KG</t>
  </si>
  <si>
    <t>KITTY AILUODE CO.,LTD</t>
  </si>
  <si>
    <t>2017PT0801-001                                                AUG.3, 2017</t>
  </si>
  <si>
    <t>SHANGHAI PUDONG ZHULIN ROAD 101#2L SHANGHAI</t>
  </si>
  <si>
    <t xml:space="preserve">200122CN </t>
  </si>
  <si>
    <t>CHEMWAY CO.,LTD</t>
  </si>
  <si>
    <t>#626, DONGMOON TOWER 1ST, 358-39, HOSU-RO,</t>
  </si>
  <si>
    <t xml:space="preserve"> ILSANDONG-GU, GOYANG-SI, GYEONGGI-DO, KOREA</t>
  </si>
  <si>
    <t>QINGDAO PORT, CHINA</t>
  </si>
  <si>
    <t>GOYANG-SI</t>
  </si>
  <si>
    <t>AUG.5,  2017</t>
  </si>
  <si>
    <t>FOB QINGAO,  CHINA</t>
  </si>
  <si>
    <t>HS COE:3807.00-3000</t>
  </si>
  <si>
    <t>2017PT0503-001                                                     MAY .3, 2017</t>
  </si>
  <si>
    <t>ETQDPT170426-001                                                 APR. 26 , 2017</t>
  </si>
  <si>
    <t>GKFOUDATION</t>
  </si>
  <si>
    <r>
      <rPr>
        <sz val="9"/>
        <rFont val="Times New Roman"/>
        <charset val="134"/>
      </rPr>
      <t>65</t>
    </r>
    <r>
      <rPr>
        <sz val="9"/>
        <rFont val="宋体"/>
        <charset val="134"/>
      </rPr>
      <t>，</t>
    </r>
    <r>
      <rPr>
        <sz val="9"/>
        <rFont val="Times New Roman"/>
        <charset val="134"/>
      </rPr>
      <t xml:space="preserve"> WORLD CUP BUK-RO, 2GIL, MAPO-GU, SEOUL, KOREA</t>
    </r>
  </si>
  <si>
    <t>BUSAN,KOREA</t>
  </si>
  <si>
    <t>JUNE. 6, 2017</t>
  </si>
  <si>
    <t>ACID VALUE: 2.0</t>
  </si>
  <si>
    <t xml:space="preserve">VISCOSITY, 40°C: 100  </t>
  </si>
  <si>
    <t>MOISTURE : 0.3%</t>
  </si>
  <si>
    <t>2017PT0801-001                                                AUG.5, 2017</t>
  </si>
  <si>
    <t>ETQDPT170724-002                                         JUL. 24, 2017</t>
  </si>
  <si>
    <t xml:space="preserve">LOTTE FOODS CO.,LTD </t>
  </si>
  <si>
    <t>10,YANGPYEONG-RO, 21GIL, YEONGDEUNGPO-GU, SEOUL,</t>
  </si>
  <si>
    <t>SOUTH KOREA</t>
  </si>
  <si>
    <t>ULSAN/SOUTH KOREA</t>
  </si>
  <si>
    <t xml:space="preserve"> FORTUNE TRADER 0143E</t>
  </si>
  <si>
    <t>AUG.13,  2017</t>
  </si>
  <si>
    <t>CIF ULSAN PORT, KOREA</t>
  </si>
  <si>
    <t>ACID VALUE: 46.6</t>
  </si>
  <si>
    <t>MOISTURE : 0.05%</t>
  </si>
  <si>
    <t xml:space="preserve">9.Remarks                                                                                                                </t>
  </si>
  <si>
    <t>QUANTITY:200.660MT</t>
  </si>
  <si>
    <t>HALU2053370</t>
  </si>
  <si>
    <t>SEGU1748300</t>
  </si>
  <si>
    <t>KDCU2163450</t>
  </si>
  <si>
    <t xml:space="preserve">HALU2036580  </t>
  </si>
  <si>
    <t>BEAU2410444</t>
  </si>
  <si>
    <t>TEMU4631782</t>
  </si>
  <si>
    <t>HALU2037123</t>
  </si>
  <si>
    <t>TRHU2919161</t>
  </si>
  <si>
    <t>TEMU0564412</t>
  </si>
  <si>
    <t>PFSU1930601</t>
  </si>
  <si>
    <t>200660KG</t>
  </si>
  <si>
    <t>201760KG</t>
  </si>
  <si>
    <t>ISU EXACHEM CO.,LTD</t>
  </si>
  <si>
    <t>2017D006001-001                                     JUNE. 25, 2017</t>
  </si>
  <si>
    <t>9.Remark                                                                                                         TEST SAMPLE                                                                                              NO COMMERCIAL VALUE</t>
  </si>
  <si>
    <t>3.Applicant:</t>
  </si>
  <si>
    <t>BEIJING</t>
  </si>
  <si>
    <t>2017.6.28</t>
  </si>
  <si>
    <t>10Marks and Number of PKGS</t>
  </si>
  <si>
    <t>11.Description of Goods</t>
  </si>
  <si>
    <t>D3035</t>
  </si>
  <si>
    <t>2017D007001-001                                     JUL. 13, 2017</t>
  </si>
  <si>
    <t>11.Remark                                                                                                         TEST SAMPLE                                                                                              NO COMMERCIAL VALUE</t>
  </si>
  <si>
    <t>2017.7.12</t>
  </si>
  <si>
    <t xml:space="preserve">15.Unit Price </t>
  </si>
  <si>
    <t>PAYMENT TERMS:  FOB INCHON</t>
  </si>
  <si>
    <t>USD10</t>
  </si>
  <si>
    <t>2017PUD0401-002                                                     APR. 5, 2017</t>
  </si>
  <si>
    <t>TEL: 86-532-86495672</t>
  </si>
  <si>
    <t>BLUE CHEM TECH CO.,LTD</t>
  </si>
  <si>
    <t>11.Remark                                                                                                        PAYMENT: TT IN ADVANCE</t>
  </si>
  <si>
    <t>INCHEON PORT, KOREA</t>
  </si>
  <si>
    <t>APR. 13,  2017</t>
  </si>
  <si>
    <t>CIF  BUSAN PORT, KOREA</t>
  </si>
  <si>
    <t>WATER BASED PU</t>
  </si>
  <si>
    <t>QUANTITY:300KGS</t>
  </si>
  <si>
    <t>PACKING: IN 150KG DRUM</t>
  </si>
  <si>
    <t>ORIGIN:CHINA</t>
  </si>
  <si>
    <t xml:space="preserve">9.Remark                                                                                                        PAYMENT: TT IN ADVANCE                                                                                                        </t>
  </si>
  <si>
    <t>BUSAN PORT, KOREA</t>
  </si>
  <si>
    <t>2DRUMS</t>
  </si>
  <si>
    <t>300KGS</t>
  </si>
  <si>
    <t>332KGS</t>
  </si>
  <si>
    <t>1CBM</t>
  </si>
  <si>
    <t>2017HDO0502-001                                                     MAY.2, 2017</t>
  </si>
  <si>
    <t xml:space="preserve">NOROO Paint &amp; Coatings co.,Ltd.  </t>
  </si>
  <si>
    <t>615, Bakdal 2-Dong, Man An-Gu, Anyang-Si Gyeonggi-Do, 430-849,</t>
  </si>
  <si>
    <t xml:space="preserve"> Korea</t>
  </si>
  <si>
    <t xml:space="preserve">SINOTRANS HONG KONG 0247E
</t>
  </si>
  <si>
    <t>MAY. 23,  2017</t>
  </si>
  <si>
    <t>1,6-Hexanediol</t>
  </si>
  <si>
    <t>80DRUMS</t>
  </si>
  <si>
    <t>16000KGS</t>
  </si>
  <si>
    <t>17520KGS</t>
  </si>
  <si>
    <t>QUANTITY: 16MTS</t>
  </si>
  <si>
    <t>PACKING: IN 200KG DRUM</t>
  </si>
  <si>
    <t>NOROO PAINT&amp; COATINGS CO.,LTD</t>
  </si>
  <si>
    <t>ETQHDO1703001                                               MAR.17, 2017</t>
  </si>
  <si>
    <t>615, Bakdal 2-Dong, Man An-Gu, Anyang-Si Gyeonggi-Do, 430-849, Korea</t>
  </si>
  <si>
    <t>Korea</t>
  </si>
  <si>
    <t>KG/MT</t>
  </si>
  <si>
    <t>2017P003001-001                                       MAR. 14, 2017</t>
  </si>
  <si>
    <t>PACIFIC BIO CO.,LTD</t>
  </si>
  <si>
    <t>QINGDAO</t>
  </si>
  <si>
    <t>M</t>
  </si>
  <si>
    <t>HAMAN</t>
  </si>
  <si>
    <t>PAYMENT TERMS:  CIF BUSAN , KOREA</t>
  </si>
  <si>
    <t>USD51000</t>
  </si>
  <si>
    <t>SINOWAY INTERNATIONAL (JIANGSU) CO., LTD.</t>
  </si>
  <si>
    <t>2015IPAC1512-001                                                        DEC. 9, 2015</t>
  </si>
  <si>
    <t>17 Beijing Road(west),Nanjing,China</t>
  </si>
  <si>
    <t>INDUSTRIAL BANK OF KOREA</t>
  </si>
  <si>
    <t>ETQIPAC151130-001                                                  NOV.30, 2015</t>
  </si>
  <si>
    <t xml:space="preserve">11.Remark                                                                                                        PAYMENT:      LC                                                                                    </t>
  </si>
  <si>
    <t xml:space="preserve">DAE HO CHEM CO.,LTD </t>
  </si>
  <si>
    <t xml:space="preserve"> 701 SAMLANIDAS, 590-2 SEONGSAN 2-DONG, MAPO-GU, </t>
  </si>
  <si>
    <t>SEOUL,KOREA</t>
  </si>
  <si>
    <t>ZHANGJIAGANG ,CHINA</t>
  </si>
  <si>
    <t>BUSAN PORT, SOUTH KOREA</t>
  </si>
  <si>
    <t>DEC. 17,  2015</t>
  </si>
  <si>
    <t>CFR BUSAN PORT, KOREA</t>
  </si>
  <si>
    <t>IPAC(ISOPROPYL ACETATE)</t>
  </si>
  <si>
    <t>QUANTITY: 20MTS</t>
  </si>
  <si>
    <t>PACKING: IN ISO TANK</t>
  </si>
  <si>
    <t>2015IPAC1512-001                                                   DEC. 9, 2015</t>
  </si>
  <si>
    <t xml:space="preserve">9.Remark                                                                                                        PAYMENT: LC                                                                                 </t>
  </si>
  <si>
    <t xml:space="preserve"> #701 SAMLAMIDAS, 590-2 SEONGSAN 2-DONG, MAPO-GU, </t>
  </si>
  <si>
    <t>ISOPROPYL ACETATE</t>
  </si>
  <si>
    <t>QUANTITY:20MTS</t>
  </si>
  <si>
    <t>PACKING :IN ISO TANK</t>
  </si>
  <si>
    <t>2018PL0928-001                                                  SEP 28. 2018</t>
  </si>
  <si>
    <t>CHEMTREE CORPORATION CO.,LTD</t>
  </si>
  <si>
    <t>ETQDSPL180913-001                                             SEP .28, 2018</t>
  </si>
  <si>
    <t xml:space="preserve">UITE 1013, 358-39, HOSU-RO, ILSANDONG-GU, GOYANG-SI, </t>
  </si>
  <si>
    <t xml:space="preserve"> Tel : +82-70-5014-3035 Fax : +82-70-4325-0224</t>
  </si>
  <si>
    <t>PANCON SUCCESS V.1837E</t>
  </si>
  <si>
    <t>SEP.  30,  2018</t>
  </si>
  <si>
    <t>CIF  INCHON PORT, KOREA</t>
  </si>
  <si>
    <t>EXPANDED PERLITE</t>
  </si>
  <si>
    <t>QUANTITY: 5MTS</t>
  </si>
  <si>
    <t>PACKING: IN 250KG BAGS</t>
  </si>
  <si>
    <t>USD3350</t>
  </si>
  <si>
    <t>20BAGS</t>
  </si>
  <si>
    <t>5000KGS</t>
  </si>
  <si>
    <t>5100KGS</t>
  </si>
  <si>
    <t>20CBM</t>
  </si>
  <si>
    <t>QUANTITY:5MTS</t>
  </si>
  <si>
    <t>PACKING :IN 250KG BAGS</t>
  </si>
  <si>
    <t>2015IPAC00801-001                                             AUG.  14, 2015</t>
  </si>
  <si>
    <t>RM.1009, NO.2 BUILDING, NO. 61 HAIER ROAD, LAOSHAN</t>
  </si>
  <si>
    <t>DISTRICT, QINGDAO CHINA</t>
  </si>
  <si>
    <t>Chemtree Corportion  co.,ltd</t>
  </si>
  <si>
    <t xml:space="preserve">ETQDSIPAC150814-001 </t>
  </si>
  <si>
    <t xml:space="preserve">#913, 672, Hosu-ro, Ilsandong-gu, Goyang-si, Gyeonggi-do, Korea </t>
  </si>
  <si>
    <r>
      <rPr>
        <b/>
        <sz val="9"/>
        <rFont val="Times New Roman"/>
        <charset val="134"/>
      </rPr>
      <t xml:space="preserve">11.Remark        </t>
    </r>
    <r>
      <rPr>
        <sz val="9"/>
        <rFont val="Times New Roman"/>
        <charset val="134"/>
      </rPr>
      <t xml:space="preserve">                                                                                                PAYMENT: T</t>
    </r>
    <r>
      <rPr>
        <sz val="9"/>
        <rFont val="Times New Roman"/>
        <charset val="134"/>
      </rPr>
      <t>T IN ADVANCE</t>
    </r>
  </si>
  <si>
    <t>Tel : +82-70-5014-3035  Fax : +82-70-4325-0224</t>
  </si>
  <si>
    <t>SHANGHAI PORT,CHINA</t>
  </si>
  <si>
    <t>AUG.30, 2015</t>
  </si>
  <si>
    <t>QUANTITY: 3.6MTS</t>
  </si>
  <si>
    <t>PACKING: 180KGS IN DRUM</t>
  </si>
  <si>
    <t xml:space="preserve">Signed by                      </t>
  </si>
  <si>
    <t>TO: CHEMTREE CORPORATION CO.,LTD</t>
  </si>
  <si>
    <t>2016IPAC1610-001                                                 OCT.11, 2016</t>
  </si>
  <si>
    <t>DISTRICT , QINGDAO, CHINA</t>
  </si>
  <si>
    <t>M04T01610NU00057                                              OCT.07, 2016</t>
  </si>
  <si>
    <t>MedtechBOSS Pte Ltd</t>
  </si>
  <si>
    <t>ETQIPAC160926-001                                               SEP.26,  2016</t>
  </si>
  <si>
    <t xml:space="preserve">11.Remark                                                                                                        PAYMENT:BY IRREVOCABLE  LC </t>
  </si>
  <si>
    <t xml:space="preserve">1104, 672, Hosu-ro, Ilsandong-gu, Goyang-si, Gyeonggi-do, S. Korea </t>
  </si>
  <si>
    <t>SINOTRANS SHENZHEN V. 1621E</t>
  </si>
  <si>
    <t>OCT. 17,  2016</t>
  </si>
  <si>
    <t xml:space="preserve">PAYMENT TERMS:  CFR BUSAN PORT, SOUTH KOREA </t>
  </si>
  <si>
    <r>
      <rPr>
        <b/>
        <sz val="9"/>
        <rFont val="Times New Roman"/>
        <charset val="134"/>
      </rPr>
      <t>QUANTITY:19.88MTS</t>
    </r>
  </si>
  <si>
    <t>PACKING:IN ISO TANK</t>
  </si>
  <si>
    <t>COUNTY OF ORIGIN:CHINA</t>
  </si>
  <si>
    <t>19.88MT</t>
  </si>
  <si>
    <t>USD1,040/MT</t>
  </si>
  <si>
    <t>USD20,675.2</t>
  </si>
  <si>
    <t>TO THE ORDER OF INDUSTRIAL BANK OF KOREA</t>
  </si>
  <si>
    <t xml:space="preserve">9.Remark                                                                                                             </t>
  </si>
  <si>
    <t xml:space="preserve">                      COMMODITY:</t>
  </si>
  <si>
    <r>
      <rPr>
        <b/>
        <sz val="9"/>
        <rFont val="Times New Roman"/>
        <charset val="134"/>
      </rPr>
      <t>QUANTITY: 19.88MTS</t>
    </r>
  </si>
  <si>
    <t>PACKING :  IN ISO TANK</t>
  </si>
  <si>
    <t>1 ISO TANK</t>
  </si>
  <si>
    <t>19,880KGS</t>
  </si>
  <si>
    <t>TK&amp;CO</t>
  </si>
  <si>
    <t>2014MAASD1404001                                          APR  09, 2014</t>
  </si>
  <si>
    <t xml:space="preserve">RM904-1, MILLENNIUM PLAZA, #211-4, YONGJONG DONG,
</t>
  </si>
  <si>
    <t>GYEYANG-GU, INCHEON, KOREA</t>
  </si>
  <si>
    <t>SKPCMAA140327-004                                            MAR.27, 2014</t>
  </si>
  <si>
    <t>BUSAN KOREA</t>
  </si>
  <si>
    <t>XINGANG, CHINA</t>
  </si>
  <si>
    <t>XIUMEI SHANGHAI 0068W</t>
  </si>
  <si>
    <t>APR.09, 2014</t>
  </si>
  <si>
    <t>CIF  XINGANG PORT, CHINA</t>
  </si>
  <si>
    <t>METHACRYLIC ACID</t>
  </si>
  <si>
    <t>QUANTITY: 31.2MT</t>
  </si>
  <si>
    <t>PACKING: 195KGS IN DRUM</t>
  </si>
  <si>
    <t>ORIGiN: KOREA</t>
  </si>
  <si>
    <t>CERTIFICATE OF  ANALYSIS</t>
  </si>
  <si>
    <t>ITEM</t>
  </si>
  <si>
    <t>SPEC</t>
  </si>
  <si>
    <t>RESULT</t>
  </si>
  <si>
    <t>APPEARANCE</t>
  </si>
  <si>
    <t>WHITE OR  LIGHT GREY POWDER</t>
  </si>
  <si>
    <t>WHITE  POWDER</t>
  </si>
  <si>
    <t>INDENSITY，  g/cm³</t>
  </si>
  <si>
    <t>&lt;0.2</t>
  </si>
  <si>
    <t xml:space="preserve">Suspended substance,%
</t>
  </si>
  <si>
    <t>≤4</t>
  </si>
  <si>
    <t xml:space="preserve">Water-soluble substance, %
</t>
  </si>
  <si>
    <t>≤0.2</t>
  </si>
  <si>
    <t>Hcl-soluble substance,%</t>
  </si>
  <si>
    <t>≤2.0</t>
  </si>
  <si>
    <t>As,   mg/kg</t>
  </si>
  <si>
    <t>≤4.0</t>
  </si>
  <si>
    <t>&lt;1.0</t>
  </si>
  <si>
    <t>Pb,    mg/kg</t>
  </si>
  <si>
    <t>Loss  on ignition, %</t>
  </si>
  <si>
    <t>PH</t>
  </si>
  <si>
    <t>6~9</t>
  </si>
  <si>
    <r>
      <rPr>
        <sz val="9"/>
        <rFont val="Malgun Gothic"/>
        <charset val="129"/>
      </rPr>
      <t>Fe</t>
    </r>
    <r>
      <rPr>
        <sz val="6"/>
        <rFont val="Malgun Gothic"/>
        <charset val="129"/>
      </rPr>
      <t>3</t>
    </r>
    <r>
      <rPr>
        <sz val="9"/>
        <rFont val="Malgun Gothic"/>
        <charset val="129"/>
      </rPr>
      <t>O</t>
    </r>
    <r>
      <rPr>
        <sz val="6"/>
        <rFont val="Malgun Gothic"/>
        <charset val="129"/>
      </rPr>
      <t>2,  %</t>
    </r>
  </si>
  <si>
    <t>EASY-TECH</t>
  </si>
  <si>
    <t>2014MAASD1404001                                    APR  09, 2014</t>
  </si>
  <si>
    <t>QUANTITY:31.2MTS</t>
  </si>
  <si>
    <t>PACKING :195KGS IN DRUM</t>
  </si>
  <si>
    <t>160DRUMS</t>
  </si>
  <si>
    <t>31200KGS</t>
  </si>
  <si>
    <t>32800KGS</t>
  </si>
  <si>
    <t>40.000CBM</t>
  </si>
  <si>
    <t>*EACH PACKAGE  CONTAINS AS FOLLOWS</t>
  </si>
  <si>
    <t xml:space="preserve">  QUANTITY:  195KGS</t>
  </si>
  <si>
    <t xml:space="preserve">  GROSS WEIGHT:  205KGS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</si>
</sst>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_ * #,##0.0000_ ;_ * \-#,##0.0000_ ;_ * &quot;-&quot;??_ ;_ @_ "/>
    <numFmt numFmtId="179" formatCode="_ * #,##0_ ;_ * \-#,##0_ ;_ * &quot;-&quot;??_ ;_ @_ "/>
    <numFmt numFmtId="180" formatCode="#,##0_ "/>
    <numFmt numFmtId="181" formatCode="&quot;US$&quot;#,##0.00;\-&quot;US$&quot;#,##0.00"/>
    <numFmt numFmtId="182" formatCode="_-&quot;US$&quot;* #,##0.00_ ;_-&quot;US$&quot;* \-#,##0.00\ ;_-&quot;US$&quot;* &quot;-&quot;??_ ;_-@_ "/>
    <numFmt numFmtId="183" formatCode="#,##0.00_ "/>
    <numFmt numFmtId="184" formatCode="0.00;_䀀"/>
    <numFmt numFmtId="185" formatCode="#,##0.0"/>
    <numFmt numFmtId="186" formatCode="\$#,##0.00;\-\$#,##0.00"/>
    <numFmt numFmtId="187" formatCode="\¥#,##0.00_);[Red]\(\¥#,##0.00\)"/>
    <numFmt numFmtId="188" formatCode="#,##0.0_ "/>
    <numFmt numFmtId="189" formatCode="\¥#,##0.00;\¥\-#,##0.00"/>
    <numFmt numFmtId="190" formatCode="#,##0.00_);[Red]\(#,##0.00\)"/>
    <numFmt numFmtId="191" formatCode="#,##0_);[Red]\(#,##0\)"/>
  </numFmts>
  <fonts count="62">
    <font>
      <sz val="12"/>
      <name val="宋体"/>
      <charset val="134"/>
    </font>
    <font>
      <sz val="9"/>
      <name val="Times New Roman"/>
      <charset val="134"/>
    </font>
    <font>
      <b/>
      <sz val="16"/>
      <name val="Times New Roman"/>
      <charset val="134"/>
    </font>
    <font>
      <b/>
      <sz val="9"/>
      <name val="Times New Roman"/>
      <charset val="134"/>
    </font>
    <font>
      <b/>
      <sz val="8"/>
      <name val="Times New Roman"/>
      <charset val="134"/>
    </font>
    <font>
      <b/>
      <u/>
      <sz val="9"/>
      <name val="Times New Roman"/>
      <charset val="134"/>
    </font>
    <font>
      <sz val="12"/>
      <name val="Malgun Gothic"/>
      <charset val="129"/>
    </font>
    <font>
      <b/>
      <sz val="18"/>
      <name val="Times New Roman"/>
      <charset val="134"/>
    </font>
    <font>
      <b/>
      <sz val="9"/>
      <name val="Malgun Gothic"/>
      <charset val="129"/>
    </font>
    <font>
      <sz val="9"/>
      <name val="Malgun Gothic"/>
      <charset val="129"/>
    </font>
    <font>
      <sz val="10"/>
      <name val="Times New Roman"/>
      <charset val="134"/>
    </font>
    <font>
      <b/>
      <u/>
      <sz val="12"/>
      <name val="Times New Roman"/>
      <charset val="134"/>
    </font>
    <font>
      <b/>
      <sz val="10"/>
      <name val="Times New Roman"/>
      <charset val="134"/>
    </font>
    <font>
      <sz val="10"/>
      <name val="Malgun Gothic"/>
      <charset val="134"/>
    </font>
    <font>
      <b/>
      <sz val="18"/>
      <name val="Malgun Gothic"/>
      <charset val="134"/>
    </font>
    <font>
      <b/>
      <sz val="10"/>
      <name val="Malgun Gothic"/>
      <charset val="134"/>
    </font>
    <font>
      <b/>
      <sz val="10"/>
      <name val="Malgun Gothic"/>
      <charset val="129"/>
    </font>
    <font>
      <b/>
      <u/>
      <sz val="10"/>
      <name val="Malgun Gothic"/>
      <charset val="134"/>
    </font>
    <font>
      <b/>
      <sz val="9"/>
      <color theme="1" tint="0.14996795556505"/>
      <name val="Times New Roman"/>
      <charset val="134"/>
    </font>
    <font>
      <sz val="9"/>
      <color theme="1"/>
      <name val="Times New Roman"/>
      <charset val="134"/>
    </font>
    <font>
      <sz val="12"/>
      <name val="Times New Roman"/>
      <charset val="134"/>
    </font>
    <font>
      <b/>
      <sz val="9"/>
      <name val="Calibri"/>
      <charset val="134"/>
    </font>
    <font>
      <sz val="9"/>
      <name val="Calibri"/>
      <charset val="134"/>
    </font>
    <font>
      <b/>
      <sz val="12"/>
      <name val="Times New Roman"/>
      <charset val="134"/>
    </font>
    <font>
      <sz val="10.5"/>
      <color rgb="FF000000"/>
      <name val="Times New Roman"/>
      <charset val="134"/>
    </font>
    <font>
      <b/>
      <sz val="10.5"/>
      <name val="Times New Roman"/>
      <charset val="134"/>
    </font>
    <font>
      <b/>
      <sz val="10.5"/>
      <name val="Arial"/>
      <charset val="134"/>
    </font>
    <font>
      <sz val="10.5"/>
      <name val="Arial"/>
      <charset val="134"/>
    </font>
    <font>
      <sz val="10"/>
      <color theme="1"/>
      <name val="Malgun Gothic"/>
      <charset val="129"/>
    </font>
    <font>
      <sz val="10"/>
      <name val="Malgun Gothic"/>
      <charset val="129"/>
    </font>
    <font>
      <b/>
      <sz val="10"/>
      <color theme="1"/>
      <name val="Malgun Gothic"/>
      <charset val="129"/>
    </font>
    <font>
      <sz val="11"/>
      <name val="Times New Roman"/>
      <charset val="134"/>
    </font>
    <font>
      <sz val="8"/>
      <color theme="1"/>
      <name val="Arial Narrow"/>
      <charset val="134"/>
    </font>
    <font>
      <sz val="8"/>
      <color theme="1"/>
      <name val="Microsoft Jheng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sz val="6"/>
      <name val="Malgun Gothic"/>
      <charset val="129"/>
    </font>
    <font>
      <sz val="8"/>
      <color theme="1"/>
      <name val="Arial Unicode MS"/>
      <charset val="134"/>
    </font>
    <font>
      <b/>
      <sz val="9"/>
      <name val="Malgun Gothic"/>
      <charset val="134"/>
    </font>
    <font>
      <b/>
      <sz val="9"/>
      <color rgb="FF5C26C8"/>
      <name val="Times New Roman"/>
      <charset val="134"/>
    </font>
    <font>
      <b/>
      <sz val="9"/>
      <color rgb="FF0000FF"/>
      <name val="Times New Roman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3" borderId="1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4" borderId="22" applyNumberFormat="0" applyAlignment="0" applyProtection="0">
      <alignment vertical="center"/>
    </xf>
    <xf numFmtId="0" fontId="44" fillId="5" borderId="23" applyNumberFormat="0" applyAlignment="0" applyProtection="0">
      <alignment vertical="center"/>
    </xf>
    <xf numFmtId="0" fontId="45" fillId="5" borderId="22" applyNumberFormat="0" applyAlignment="0" applyProtection="0">
      <alignment vertical="center"/>
    </xf>
    <xf numFmtId="0" fontId="46" fillId="6" borderId="24" applyNumberFormat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1" fillId="0" borderId="7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justify" vertical="top" wrapText="1"/>
    </xf>
    <xf numFmtId="0" fontId="3" fillId="0" borderId="9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justify" vertical="center" wrapText="1"/>
    </xf>
    <xf numFmtId="15" fontId="1" fillId="0" borderId="4" xfId="0" applyNumberFormat="1" applyFont="1" applyBorder="1" applyAlignment="1">
      <alignment horizontal="justify" vertical="top" wrapText="1"/>
    </xf>
    <xf numFmtId="0" fontId="1" fillId="0" borderId="11" xfId="0" applyFont="1" applyBorder="1" applyAlignment="1">
      <alignment horizontal="justify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justify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5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176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3" fillId="0" borderId="0" xfId="50" applyFont="1" applyAlignment="1">
      <alignment horizontal="center" vertical="top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1" fillId="0" borderId="1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justify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center" vertical="top" wrapText="1"/>
    </xf>
    <xf numFmtId="176" fontId="9" fillId="0" borderId="13" xfId="0" applyNumberFormat="1" applyFont="1" applyBorder="1" applyAlignment="1">
      <alignment horizontal="center" vertical="top" wrapText="1"/>
    </xf>
    <xf numFmtId="177" fontId="1" fillId="0" borderId="0" xfId="0" applyNumberFormat="1" applyFont="1" applyAlignment="1">
      <alignment horizontal="center" vertical="top" wrapText="1"/>
    </xf>
    <xf numFmtId="178" fontId="0" fillId="0" borderId="0" xfId="0" applyNumberForma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43" fontId="1" fillId="0" borderId="0" xfId="1" applyFont="1" applyAlignment="1">
      <alignment horizontal="center" vertical="top" wrapText="1"/>
    </xf>
    <xf numFmtId="43" fontId="1" fillId="0" borderId="0" xfId="1" applyNumberFormat="1" applyFont="1" applyAlignment="1">
      <alignment horizontal="center" vertical="top" wrapText="1"/>
    </xf>
    <xf numFmtId="0" fontId="3" fillId="0" borderId="0" xfId="0" applyFont="1">
      <alignment vertical="center"/>
    </xf>
    <xf numFmtId="43" fontId="3" fillId="0" borderId="0" xfId="1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vertical="top" wrapText="1"/>
    </xf>
    <xf numFmtId="43" fontId="1" fillId="0" borderId="0" xfId="1" applyNumberFormat="1" applyFont="1" applyAlignment="1">
      <alignment horizontal="center" vertical="center"/>
    </xf>
    <xf numFmtId="176" fontId="3" fillId="0" borderId="15" xfId="0" applyNumberFormat="1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1" fillId="2" borderId="7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3" fontId="3" fillId="0" borderId="0" xfId="1" applyNumberFormat="1" applyFont="1" applyAlignment="1">
      <alignment horizontal="center" vertical="top" wrapText="1"/>
    </xf>
    <xf numFmtId="43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>
      <alignment vertical="center"/>
    </xf>
    <xf numFmtId="0" fontId="7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justify" vertical="top" wrapText="1"/>
    </xf>
    <xf numFmtId="0" fontId="3" fillId="2" borderId="3" xfId="0" applyFont="1" applyFill="1" applyBorder="1" applyAlignment="1">
      <alignment horizontal="justify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justify" vertical="top" wrapText="1"/>
    </xf>
    <xf numFmtId="0" fontId="1" fillId="2" borderId="4" xfId="0" applyFont="1" applyFill="1" applyBorder="1" applyAlignment="1">
      <alignment horizontal="justify" vertical="top" wrapText="1"/>
    </xf>
    <xf numFmtId="0" fontId="1" fillId="2" borderId="5" xfId="0" applyFont="1" applyFill="1" applyBorder="1" applyAlignment="1">
      <alignment horizontal="justify" vertical="top" wrapText="1"/>
    </xf>
    <xf numFmtId="0" fontId="3" fillId="2" borderId="6" xfId="0" applyFont="1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justify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justify" vertical="top" wrapText="1"/>
    </xf>
    <xf numFmtId="0" fontId="1" fillId="2" borderId="8" xfId="0" applyFont="1" applyFill="1" applyBorder="1" applyAlignment="1">
      <alignment horizontal="justify" vertical="top" wrapText="1"/>
    </xf>
    <xf numFmtId="0" fontId="3" fillId="2" borderId="9" xfId="0" applyFont="1" applyFill="1" applyBorder="1" applyAlignment="1">
      <alignment horizontal="justify" vertical="top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justify" vertical="center" wrapText="1"/>
    </xf>
    <xf numFmtId="15" fontId="1" fillId="2" borderId="4" xfId="0" applyNumberFormat="1" applyFont="1" applyFill="1" applyBorder="1" applyAlignment="1">
      <alignment horizontal="justify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justify" vertical="top" wrapText="1"/>
    </xf>
    <xf numFmtId="0" fontId="4" fillId="2" borderId="14" xfId="0" applyFont="1" applyFill="1" applyBorder="1" applyAlignment="1">
      <alignment horizontal="justify" vertical="top" wrapText="1"/>
    </xf>
    <xf numFmtId="0" fontId="3" fillId="2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center" vertical="top" wrapText="1"/>
    </xf>
    <xf numFmtId="177" fontId="1" fillId="2" borderId="0" xfId="0" applyNumberFormat="1" applyFont="1" applyFill="1" applyAlignment="1">
      <alignment horizontal="center" vertical="top" wrapText="1"/>
    </xf>
    <xf numFmtId="178" fontId="0" fillId="2" borderId="0" xfId="0" applyNumberFormat="1" applyFill="1">
      <alignment vertic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3" fillId="2" borderId="15" xfId="0" applyFont="1" applyFill="1" applyBorder="1" applyAlignment="1">
      <alignment horizontal="center" vertical="top" wrapText="1"/>
    </xf>
    <xf numFmtId="0" fontId="3" fillId="2" borderId="15" xfId="0" applyFont="1" applyFill="1" applyBorder="1" applyAlignment="1">
      <alignment vertical="top" wrapText="1"/>
    </xf>
    <xf numFmtId="43" fontId="3" fillId="2" borderId="0" xfId="1" applyFont="1" applyFill="1" applyAlignment="1">
      <alignment horizontal="center" vertical="top" wrapText="1"/>
    </xf>
    <xf numFmtId="0" fontId="11" fillId="2" borderId="0" xfId="0" applyFont="1" applyFill="1">
      <alignment vertical="center"/>
    </xf>
    <xf numFmtId="0" fontId="1" fillId="0" borderId="0" xfId="0" applyFont="1" applyBorder="1">
      <alignment vertical="center"/>
    </xf>
    <xf numFmtId="0" fontId="1" fillId="0" borderId="4" xfId="0" applyFont="1" applyBorder="1">
      <alignment vertical="center"/>
    </xf>
    <xf numFmtId="179" fontId="1" fillId="0" borderId="0" xfId="1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3" fontId="3" fillId="0" borderId="0" xfId="0" applyNumberFormat="1" applyFont="1" applyAlignment="1">
      <alignment horizontal="center" vertical="center"/>
    </xf>
    <xf numFmtId="179" fontId="3" fillId="0" borderId="0" xfId="1" applyNumberFormat="1" applyFont="1" applyAlignment="1">
      <alignment horizontal="center" vertical="top" wrapText="1"/>
    </xf>
    <xf numFmtId="0" fontId="1" fillId="0" borderId="0" xfId="0" applyFont="1" applyAlignment="1">
      <alignment horizontal="right" vertical="center"/>
    </xf>
    <xf numFmtId="180" fontId="3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right" vertical="center" wrapText="1"/>
    </xf>
    <xf numFmtId="180" fontId="3" fillId="0" borderId="0" xfId="0" applyNumberFormat="1" applyFont="1" applyAlignment="1">
      <alignment vertical="top" wrapText="1"/>
    </xf>
    <xf numFmtId="180" fontId="3" fillId="0" borderId="0" xfId="0" applyNumberFormat="1" applyFont="1" applyAlignment="1">
      <alignment horizontal="right" vertical="top" wrapText="1"/>
    </xf>
    <xf numFmtId="176" fontId="3" fillId="0" borderId="0" xfId="0" applyNumberFormat="1" applyFont="1" applyAlignment="1">
      <alignment horizontal="right" vertical="top" wrapText="1"/>
    </xf>
    <xf numFmtId="0" fontId="1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80" fontId="3" fillId="0" borderId="15" xfId="0" applyNumberFormat="1" applyFont="1" applyBorder="1" applyAlignment="1">
      <alignment vertical="top" wrapText="1"/>
    </xf>
    <xf numFmtId="0" fontId="1" fillId="0" borderId="3" xfId="0" applyFont="1" applyBorder="1" applyAlignment="1">
      <alignment horizontal="justify" vertical="top" wrapText="1"/>
    </xf>
    <xf numFmtId="180" fontId="3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justify" vertical="top" wrapText="1"/>
    </xf>
    <xf numFmtId="0" fontId="15" fillId="0" borderId="6" xfId="0" applyFont="1" applyBorder="1" applyAlignment="1">
      <alignment horizontal="justify" vertical="top" wrapText="1"/>
    </xf>
    <xf numFmtId="0" fontId="15" fillId="0" borderId="2" xfId="0" applyFont="1" applyBorder="1" applyAlignment="1">
      <alignment vertical="top"/>
    </xf>
    <xf numFmtId="0" fontId="13" fillId="0" borderId="4" xfId="0" applyFont="1" applyBorder="1">
      <alignment vertical="center"/>
    </xf>
    <xf numFmtId="0" fontId="15" fillId="0" borderId="0" xfId="0" applyFont="1" applyBorder="1" applyAlignment="1">
      <alignment vertical="top"/>
    </xf>
    <xf numFmtId="0" fontId="16" fillId="0" borderId="0" xfId="0" applyFont="1" applyBorder="1" applyAlignment="1">
      <alignment horizontal="justify" vertical="top" wrapText="1"/>
    </xf>
    <xf numFmtId="0" fontId="15" fillId="0" borderId="4" xfId="0" applyFont="1" applyBorder="1" applyAlignment="1">
      <alignment horizontal="justify" vertical="top" wrapText="1"/>
    </xf>
    <xf numFmtId="0" fontId="15" fillId="0" borderId="0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5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6" fillId="0" borderId="0" xfId="0" applyFont="1" applyBorder="1" applyAlignment="1">
      <alignment vertical="top"/>
    </xf>
    <xf numFmtId="0" fontId="13" fillId="0" borderId="0" xfId="0" applyFont="1" applyBorder="1" applyAlignment="1">
      <alignment vertical="top"/>
    </xf>
    <xf numFmtId="0" fontId="15" fillId="0" borderId="0" xfId="0" applyFont="1" applyBorder="1" applyAlignment="1">
      <alignment horizontal="justify" vertical="top" wrapText="1"/>
    </xf>
    <xf numFmtId="0" fontId="15" fillId="0" borderId="16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5" fillId="0" borderId="13" xfId="0" applyFont="1" applyBorder="1" applyAlignment="1">
      <alignment horizontal="justify" vertical="top" wrapText="1"/>
    </xf>
    <xf numFmtId="0" fontId="15" fillId="0" borderId="14" xfId="0" applyFont="1" applyBorder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15" fillId="0" borderId="0" xfId="0" applyFont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 wrapText="1"/>
    </xf>
    <xf numFmtId="0" fontId="15" fillId="0" borderId="0" xfId="0" applyFont="1" applyAlignment="1">
      <alignment vertical="top" wrapText="1"/>
    </xf>
    <xf numFmtId="181" fontId="15" fillId="0" borderId="0" xfId="1" applyNumberFormat="1" applyFont="1" applyAlignment="1">
      <alignment vertical="top" wrapText="1"/>
    </xf>
    <xf numFmtId="43" fontId="15" fillId="0" borderId="0" xfId="1" applyFont="1" applyAlignment="1">
      <alignment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7" xfId="0" applyFont="1" applyBorder="1" applyAlignment="1">
      <alignment horizontal="right" vertical="top" wrapText="1"/>
    </xf>
    <xf numFmtId="0" fontId="15" fillId="0" borderId="17" xfId="0" applyFont="1" applyBorder="1" applyAlignment="1">
      <alignment vertical="top" wrapText="1"/>
    </xf>
    <xf numFmtId="43" fontId="15" fillId="0" borderId="17" xfId="1" applyFont="1" applyBorder="1" applyAlignment="1">
      <alignment vertical="top" wrapText="1"/>
    </xf>
    <xf numFmtId="0" fontId="16" fillId="0" borderId="0" xfId="0" applyFont="1" applyBorder="1" applyAlignment="1">
      <alignment horizontal="center" vertical="center"/>
    </xf>
    <xf numFmtId="179" fontId="16" fillId="0" borderId="0" xfId="1" applyNumberFormat="1" applyFont="1" applyBorder="1" applyAlignment="1">
      <alignment horizontal="center" vertical="top" wrapText="1"/>
    </xf>
    <xf numFmtId="43" fontId="16" fillId="0" borderId="0" xfId="1" applyFont="1" applyBorder="1" applyAlignment="1">
      <alignment horizontal="center" vertical="top" wrapText="1"/>
    </xf>
    <xf numFmtId="0" fontId="13" fillId="0" borderId="0" xfId="0" applyFont="1" applyBorder="1">
      <alignment vertical="center"/>
    </xf>
    <xf numFmtId="0" fontId="15" fillId="0" borderId="0" xfId="0" applyNumberFormat="1" applyFont="1" applyBorder="1" applyAlignment="1">
      <alignment horizontal="right" vertical="top" wrapText="1"/>
    </xf>
    <xf numFmtId="0" fontId="16" fillId="0" borderId="0" xfId="0" applyNumberFormat="1" applyFont="1" applyBorder="1" applyAlignment="1">
      <alignment vertical="top" wrapText="1"/>
    </xf>
    <xf numFmtId="43" fontId="13" fillId="0" borderId="0" xfId="1" applyFont="1" applyBorder="1" applyAlignment="1">
      <alignment horizontal="center" vertical="top" wrapText="1"/>
    </xf>
    <xf numFmtId="0" fontId="16" fillId="0" borderId="0" xfId="0" applyFont="1" applyAlignment="1">
      <alignment horizontal="right" vertical="center"/>
    </xf>
    <xf numFmtId="0" fontId="15" fillId="0" borderId="0" xfId="0" applyFont="1" applyBorder="1" applyAlignment="1">
      <alignment horizontal="right" vertical="top" wrapText="1"/>
    </xf>
    <xf numFmtId="0" fontId="15" fillId="0" borderId="0" xfId="0" applyFont="1" applyBorder="1" applyAlignment="1">
      <alignment vertical="top" wrapText="1"/>
    </xf>
    <xf numFmtId="43" fontId="13" fillId="0" borderId="0" xfId="1" applyFont="1" applyAlignment="1">
      <alignment horizontal="center" vertical="top" wrapText="1"/>
    </xf>
    <xf numFmtId="43" fontId="16" fillId="0" borderId="0" xfId="1" applyFont="1" applyAlignment="1">
      <alignment horizontal="center" vertical="top" wrapText="1"/>
    </xf>
    <xf numFmtId="0" fontId="15" fillId="0" borderId="0" xfId="0" applyNumberFormat="1" applyFont="1" applyAlignment="1">
      <alignment vertical="top" wrapText="1"/>
    </xf>
    <xf numFmtId="0" fontId="15" fillId="0" borderId="0" xfId="0" applyNumberFormat="1" applyFont="1" applyAlignment="1">
      <alignment vertical="center" wrapText="1"/>
    </xf>
    <xf numFmtId="0" fontId="13" fillId="0" borderId="0" xfId="0" applyNumberFormat="1" applyFont="1" applyAlignment="1">
      <alignment horizontal="center" vertical="top" wrapText="1"/>
    </xf>
    <xf numFmtId="0" fontId="13" fillId="0" borderId="0" xfId="1" applyNumberFormat="1" applyFont="1" applyAlignment="1">
      <alignment horizontal="center" vertical="top" wrapText="1"/>
    </xf>
    <xf numFmtId="49" fontId="15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7" fontId="13" fillId="0" borderId="0" xfId="0" applyNumberFormat="1" applyFont="1" applyAlignment="1">
      <alignment horizontal="center" vertical="top" wrapText="1"/>
    </xf>
    <xf numFmtId="0" fontId="15" fillId="0" borderId="15" xfId="0" applyFont="1" applyBorder="1" applyAlignment="1">
      <alignment horizontal="center" vertical="top" wrapText="1"/>
    </xf>
    <xf numFmtId="0" fontId="15" fillId="0" borderId="15" xfId="0" applyFont="1" applyBorder="1" applyAlignment="1">
      <alignment vertical="top" wrapText="1"/>
    </xf>
    <xf numFmtId="43" fontId="15" fillId="0" borderId="15" xfId="1" applyFont="1" applyBorder="1" applyAlignment="1">
      <alignment vertical="top" wrapText="1"/>
    </xf>
    <xf numFmtId="181" fontId="15" fillId="0" borderId="0" xfId="1" applyNumberFormat="1" applyFont="1" applyAlignment="1">
      <alignment horizontal="center" vertical="top" wrapText="1"/>
    </xf>
    <xf numFmtId="0" fontId="17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justify" vertical="top" wrapText="1"/>
    </xf>
    <xf numFmtId="180" fontId="3" fillId="0" borderId="0" xfId="0" applyNumberFormat="1" applyFont="1" applyBorder="1" applyAlignment="1">
      <alignment horizontal="center" vertical="center" wrapText="1"/>
    </xf>
    <xf numFmtId="49" fontId="18" fillId="2" borderId="0" xfId="0" applyNumberFormat="1" applyFont="1" applyFill="1" applyBorder="1">
      <alignment vertical="center"/>
    </xf>
    <xf numFmtId="0" fontId="3" fillId="2" borderId="0" xfId="0" applyFont="1" applyFill="1" applyBorder="1" applyAlignment="1">
      <alignment horizontal="right" vertical="top" wrapText="1"/>
    </xf>
    <xf numFmtId="180" fontId="18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top" wrapText="1"/>
    </xf>
    <xf numFmtId="0" fontId="3" fillId="2" borderId="0" xfId="0" applyFont="1" applyFill="1" applyBorder="1">
      <alignment vertical="center"/>
    </xf>
    <xf numFmtId="180" fontId="3" fillId="0" borderId="18" xfId="0" applyNumberFormat="1" applyFont="1" applyBorder="1" applyAlignment="1">
      <alignment horizontal="right" vertical="top" wrapText="1"/>
    </xf>
    <xf numFmtId="176" fontId="3" fillId="0" borderId="18" xfId="0" applyNumberFormat="1" applyFont="1" applyBorder="1" applyAlignment="1">
      <alignment horizontal="right" vertical="top" wrapText="1"/>
    </xf>
    <xf numFmtId="180" fontId="1" fillId="0" borderId="0" xfId="0" applyNumberFormat="1" applyFont="1">
      <alignment vertical="center"/>
    </xf>
    <xf numFmtId="180" fontId="3" fillId="0" borderId="0" xfId="5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0" fillId="0" borderId="0" xfId="0" applyFont="1">
      <alignment vertical="center"/>
    </xf>
    <xf numFmtId="182" fontId="3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/>
    </xf>
    <xf numFmtId="0" fontId="3" fillId="0" borderId="13" xfId="0" applyFont="1" applyBorder="1" applyAlignment="1">
      <alignment vertical="top" wrapText="1"/>
    </xf>
    <xf numFmtId="180" fontId="3" fillId="0" borderId="13" xfId="0" applyNumberFormat="1" applyFont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3" fillId="0" borderId="13" xfId="0" applyFont="1" applyBorder="1">
      <alignment vertical="center"/>
    </xf>
    <xf numFmtId="180" fontId="3" fillId="0" borderId="13" xfId="0" applyNumberFormat="1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top" wrapText="1"/>
    </xf>
    <xf numFmtId="0" fontId="19" fillId="0" borderId="13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180" fontId="3" fillId="2" borderId="0" xfId="0" applyNumberFormat="1" applyFont="1" applyFill="1" applyAlignment="1">
      <alignment horizontal="right" vertical="center" wrapText="1"/>
    </xf>
    <xf numFmtId="0" fontId="3" fillId="0" borderId="0" xfId="0" applyFont="1" applyFill="1">
      <alignment vertical="center"/>
    </xf>
    <xf numFmtId="0" fontId="3" fillId="0" borderId="13" xfId="0" applyFont="1" applyFill="1" applyBorder="1" applyAlignment="1">
      <alignment vertical="center" wrapText="1"/>
    </xf>
    <xf numFmtId="0" fontId="3" fillId="0" borderId="13" xfId="0" applyFont="1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180" fontId="3" fillId="0" borderId="0" xfId="0" applyNumberFormat="1" applyFont="1" applyAlignment="1">
      <alignment vertical="center" wrapText="1"/>
    </xf>
    <xf numFmtId="0" fontId="3" fillId="0" borderId="0" xfId="0" applyFont="1" applyFill="1" applyAlignment="1">
      <alignment vertical="center"/>
    </xf>
    <xf numFmtId="183" fontId="3" fillId="0" borderId="0" xfId="0" applyNumberFormat="1" applyFont="1" applyAlignment="1">
      <alignment vertical="center" wrapText="1"/>
    </xf>
    <xf numFmtId="184" fontId="1" fillId="0" borderId="0" xfId="0" applyNumberFormat="1" applyFont="1" applyAlignment="1">
      <alignment horizontal="center" vertical="top" wrapText="1"/>
    </xf>
    <xf numFmtId="0" fontId="20" fillId="0" borderId="0" xfId="0" applyFont="1">
      <alignment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21" fillId="0" borderId="0" xfId="0" applyFont="1">
      <alignment vertical="center"/>
    </xf>
    <xf numFmtId="0" fontId="22" fillId="0" borderId="0" xfId="0" applyFont="1" applyBorder="1" applyAlignment="1">
      <alignment vertical="top" wrapText="1"/>
    </xf>
    <xf numFmtId="0" fontId="21" fillId="0" borderId="5" xfId="0" applyFont="1" applyBorder="1" applyAlignment="1">
      <alignment horizontal="center" vertical="top" wrapText="1"/>
    </xf>
    <xf numFmtId="0" fontId="22" fillId="0" borderId="0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4" xfId="0" applyFont="1" applyBorder="1" applyAlignment="1">
      <alignment horizontal="left" vertical="top" wrapText="1"/>
    </xf>
    <xf numFmtId="26" fontId="1" fillId="0" borderId="0" xfId="1" applyNumberFormat="1" applyFont="1" applyAlignment="1">
      <alignment horizontal="right" vertical="top" wrapText="1"/>
    </xf>
    <xf numFmtId="43" fontId="1" fillId="0" borderId="0" xfId="1" applyFont="1" applyAlignment="1">
      <alignment horizontal="left" vertical="top" wrapText="1"/>
    </xf>
    <xf numFmtId="43" fontId="3" fillId="0" borderId="0" xfId="0" applyNumberFormat="1" applyFont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0" fontId="28" fillId="0" borderId="14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 wrapText="1"/>
    </xf>
    <xf numFmtId="176" fontId="28" fillId="0" borderId="12" xfId="0" applyNumberFormat="1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3" fontId="28" fillId="0" borderId="13" xfId="0" applyNumberFormat="1" applyFont="1" applyBorder="1" applyAlignment="1">
      <alignment horizontal="center" vertical="center" wrapText="1"/>
    </xf>
    <xf numFmtId="4" fontId="28" fillId="0" borderId="14" xfId="0" applyNumberFormat="1" applyFont="1" applyBorder="1" applyAlignment="1">
      <alignment horizontal="center" vertical="center" wrapText="1"/>
    </xf>
    <xf numFmtId="4" fontId="28" fillId="0" borderId="12" xfId="0" applyNumberFormat="1" applyFont="1" applyBorder="1" applyAlignment="1">
      <alignment horizontal="center" vertical="center" wrapText="1"/>
    </xf>
    <xf numFmtId="4" fontId="28" fillId="0" borderId="13" xfId="0" applyNumberFormat="1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43" fontId="3" fillId="0" borderId="0" xfId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3" fillId="0" borderId="0" xfId="1" applyFont="1" applyAlignment="1">
      <alignment vertical="top" wrapText="1"/>
    </xf>
    <xf numFmtId="43" fontId="3" fillId="0" borderId="0" xfId="1" applyFont="1" applyBorder="1" applyAlignment="1">
      <alignment vertical="top" wrapText="1"/>
    </xf>
    <xf numFmtId="43" fontId="18" fillId="2" borderId="0" xfId="1" applyFont="1" applyFill="1" applyBorder="1" applyAlignment="1">
      <alignment horizontal="center" vertical="center"/>
    </xf>
    <xf numFmtId="43" fontId="3" fillId="0" borderId="15" xfId="1" applyFont="1" applyBorder="1" applyAlignment="1">
      <alignment vertical="top" wrapText="1"/>
    </xf>
    <xf numFmtId="183" fontId="3" fillId="0" borderId="0" xfId="0" applyNumberFormat="1" applyFont="1" applyAlignment="1">
      <alignment horizontal="right" vertical="top" wrapText="1"/>
    </xf>
    <xf numFmtId="43" fontId="3" fillId="0" borderId="0" xfId="1" applyFont="1" applyAlignment="1">
      <alignment horizontal="right" vertical="top" wrapText="1"/>
    </xf>
    <xf numFmtId="43" fontId="3" fillId="0" borderId="18" xfId="1" applyFont="1" applyBorder="1" applyAlignment="1">
      <alignment horizontal="right" vertical="top" wrapText="1"/>
    </xf>
    <xf numFmtId="0" fontId="1" fillId="0" borderId="8" xfId="0" applyFont="1" applyBorder="1">
      <alignment vertical="center"/>
    </xf>
    <xf numFmtId="183" fontId="3" fillId="0" borderId="0" xfId="1" applyNumberFormat="1" applyFont="1" applyAlignment="1">
      <alignment vertical="top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15" fontId="1" fillId="0" borderId="4" xfId="0" applyNumberFormat="1" applyFont="1" applyBorder="1" applyAlignment="1">
      <alignment horizontal="left" vertical="center" wrapText="1"/>
    </xf>
    <xf numFmtId="0" fontId="1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185" fontId="3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Border="1">
      <alignment vertical="center"/>
    </xf>
    <xf numFmtId="15" fontId="1" fillId="0" borderId="4" xfId="0" applyNumberFormat="1" applyFont="1" applyBorder="1" applyAlignment="1">
      <alignment horizontal="left" vertical="top" wrapText="1"/>
    </xf>
    <xf numFmtId="26" fontId="1" fillId="0" borderId="0" xfId="1" applyNumberFormat="1" applyFont="1" applyAlignment="1">
      <alignment horizontal="center" vertical="top" wrapText="1"/>
    </xf>
    <xf numFmtId="186" fontId="1" fillId="0" borderId="0" xfId="0" applyNumberFormat="1" applyFont="1" applyAlignment="1">
      <alignment horizontal="center" vertical="top" wrapText="1"/>
    </xf>
    <xf numFmtId="26" fontId="3" fillId="0" borderId="0" xfId="0" applyNumberFormat="1" applyFont="1" applyAlignment="1">
      <alignment vertical="top" wrapText="1"/>
    </xf>
    <xf numFmtId="26" fontId="3" fillId="0" borderId="15" xfId="0" applyNumberFormat="1" applyFont="1" applyBorder="1" applyAlignment="1">
      <alignment vertical="top" wrapText="1"/>
    </xf>
    <xf numFmtId="26" fontId="3" fillId="0" borderId="0" xfId="1" applyNumberFormat="1" applyFont="1" applyAlignment="1">
      <alignment horizontal="center" vertical="top" wrapText="1"/>
    </xf>
    <xf numFmtId="0" fontId="20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center" vertical="top" wrapText="1"/>
    </xf>
    <xf numFmtId="0" fontId="23" fillId="0" borderId="0" xfId="0" applyFont="1" applyBorder="1">
      <alignment vertical="center"/>
    </xf>
    <xf numFmtId="0" fontId="31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vertical="center" wrapText="1"/>
    </xf>
    <xf numFmtId="187" fontId="1" fillId="0" borderId="0" xfId="0" applyNumberFormat="1" applyFont="1" applyAlignment="1">
      <alignment vertical="top" wrapText="1"/>
    </xf>
    <xf numFmtId="187" fontId="3" fillId="0" borderId="0" xfId="0" applyNumberFormat="1" applyFont="1" applyAlignment="1">
      <alignment vertical="top" wrapText="1"/>
    </xf>
    <xf numFmtId="188" fontId="3" fillId="0" borderId="0" xfId="0" applyNumberFormat="1" applyFont="1" applyAlignment="1">
      <alignment horizontal="right" vertical="top" wrapText="1"/>
    </xf>
    <xf numFmtId="0" fontId="3" fillId="0" borderId="0" xfId="50" applyFont="1" applyAlignment="1">
      <alignment horizontal="left" vertical="top" wrapText="1"/>
    </xf>
    <xf numFmtId="187" fontId="1" fillId="0" borderId="0" xfId="1" applyNumberFormat="1" applyFont="1" applyAlignment="1">
      <alignment horizontal="center" vertical="top" wrapText="1"/>
    </xf>
    <xf numFmtId="189" fontId="3" fillId="0" borderId="0" xfId="1" applyNumberFormat="1" applyFont="1" applyAlignment="1">
      <alignment horizontal="center" vertical="top" wrapText="1"/>
    </xf>
    <xf numFmtId="0" fontId="3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186" fontId="3" fillId="0" borderId="0" xfId="1" applyNumberFormat="1" applyFont="1" applyAlignment="1">
      <alignment horizontal="center" vertical="top" wrapText="1"/>
    </xf>
    <xf numFmtId="177" fontId="3" fillId="0" borderId="0" xfId="0" applyNumberFormat="1" applyFont="1" applyAlignment="1">
      <alignment horizontal="center" vertical="top" wrapText="1"/>
    </xf>
    <xf numFmtId="181" fontId="3" fillId="0" borderId="0" xfId="1" applyNumberFormat="1" applyFont="1" applyAlignment="1">
      <alignment horizontal="center" vertical="top" wrapText="1"/>
    </xf>
    <xf numFmtId="190" fontId="1" fillId="0" borderId="0" xfId="0" applyNumberFormat="1" applyFont="1" applyAlignment="1">
      <alignment horizontal="center" vertical="center" wrapText="1"/>
    </xf>
    <xf numFmtId="190" fontId="1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0" fillId="0" borderId="1" xfId="0" applyFont="1" applyBorder="1">
      <alignment vertical="center"/>
    </xf>
    <xf numFmtId="15" fontId="1" fillId="0" borderId="11" xfId="0" applyNumberFormat="1" applyFont="1" applyBorder="1" applyAlignment="1">
      <alignment horizontal="justify" vertical="top" wrapText="1"/>
    </xf>
    <xf numFmtId="191" fontId="1" fillId="0" borderId="0" xfId="0" applyNumberFormat="1" applyFont="1" applyAlignment="1">
      <alignment horizontal="center" vertical="center" wrapText="1"/>
    </xf>
    <xf numFmtId="0" fontId="3" fillId="0" borderId="14" xfId="0" applyFont="1" applyBorder="1" applyAlignment="1">
      <alignment horizontal="left" vertical="top" wrapText="1"/>
    </xf>
    <xf numFmtId="0" fontId="1" fillId="2" borderId="14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180" fontId="18" fillId="2" borderId="13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188" fontId="1" fillId="0" borderId="0" xfId="0" applyNumberFormat="1" applyFont="1">
      <alignment vertical="center"/>
    </xf>
    <xf numFmtId="0" fontId="4" fillId="0" borderId="0" xfId="0" applyFont="1" applyBorder="1" applyAlignment="1">
      <alignment horizontal="left" vertical="top" wrapText="1"/>
    </xf>
    <xf numFmtId="187" fontId="3" fillId="0" borderId="0" xfId="1" applyNumberFormat="1" applyFont="1" applyBorder="1" applyAlignment="1">
      <alignment horizontal="center" vertical="top" wrapText="1"/>
    </xf>
    <xf numFmtId="0" fontId="3" fillId="0" borderId="0" xfId="0" applyFont="1" applyBorder="1" applyAlignment="1">
      <alignment vertical="center"/>
    </xf>
    <xf numFmtId="187" fontId="3" fillId="0" borderId="15" xfId="0" applyNumberFormat="1" applyFont="1" applyBorder="1" applyAlignment="1">
      <alignment vertical="top" wrapText="1"/>
    </xf>
    <xf numFmtId="187" fontId="3" fillId="0" borderId="0" xfId="0" applyNumberFormat="1" applyFont="1" applyAlignment="1">
      <alignment horizontal="center" vertical="top" wrapText="1"/>
    </xf>
    <xf numFmtId="187" fontId="3" fillId="0" borderId="0" xfId="1" applyNumberFormat="1" applyFont="1" applyAlignment="1">
      <alignment horizontal="center" vertical="top" wrapText="1"/>
    </xf>
    <xf numFmtId="0" fontId="4" fillId="0" borderId="0" xfId="0" applyFont="1">
      <alignment vertical="center"/>
    </xf>
    <xf numFmtId="26" fontId="3" fillId="0" borderId="0" xfId="1" applyNumberFormat="1" applyFont="1" applyBorder="1" applyAlignment="1">
      <alignment horizontal="center" vertical="top" wrapText="1"/>
    </xf>
    <xf numFmtId="186" fontId="3" fillId="0" borderId="0" xfId="1" applyNumberFormat="1" applyFont="1" applyBorder="1" applyAlignment="1">
      <alignment horizontal="center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7" Type="http://schemas.openxmlformats.org/officeDocument/2006/relationships/styles" Target="styles.xml"/><Relationship Id="rId76" Type="http://schemas.openxmlformats.org/officeDocument/2006/relationships/sharedStrings" Target="sharedStrings.xml"/><Relationship Id="rId75" Type="http://schemas.openxmlformats.org/officeDocument/2006/relationships/theme" Target="theme/theme1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45557</xdr:rowOff>
    </xdr:from>
    <xdr:to>
      <xdr:col>6</xdr:col>
      <xdr:colOff>14288</xdr:colOff>
      <xdr:row>0</xdr:row>
      <xdr:rowOff>581025</xdr:rowOff>
    </xdr:to>
    <xdr:grpSp>
      <xdr:nvGrpSpPr>
        <xdr:cNvPr id="2" name="组合 1"/>
        <xdr:cNvGrpSpPr/>
      </xdr:nvGrpSpPr>
      <xdr:grpSpPr>
        <a:xfrm>
          <a:off x="0" y="45085"/>
          <a:ext cx="6453505" cy="535940"/>
          <a:chOff x="5305011" y="948359"/>
          <a:chExt cx="5859945" cy="421536"/>
        </a:xfrm>
      </xdr:grpSpPr>
      <xdr:pic>
        <xdr:nvPicPr>
          <xdr:cNvPr id="3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816697" cy="3929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4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5" name="Text Box 9"/>
          <xdr:cNvSpPr txBox="1">
            <a:spLocks noChangeArrowheads="1"/>
          </xdr:cNvSpPr>
        </xdr:nvSpPr>
        <xdr:spPr>
          <a:xfrm>
            <a:off x="6776885" y="1112822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6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05375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05375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450151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450151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3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1057275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3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1057275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twoCellAnchor>
    <xdr:from>
      <xdr:col>0</xdr:col>
      <xdr:colOff>0</xdr:colOff>
      <xdr:row>1</xdr:row>
      <xdr:rowOff>45556</xdr:rowOff>
    </xdr:from>
    <xdr:to>
      <xdr:col>6</xdr:col>
      <xdr:colOff>0</xdr:colOff>
      <xdr:row>2</xdr:row>
      <xdr:rowOff>0</xdr:rowOff>
    </xdr:to>
    <xdr:grpSp>
      <xdr:nvGrpSpPr>
        <xdr:cNvPr id="4" name="组合 3"/>
        <xdr:cNvGrpSpPr/>
      </xdr:nvGrpSpPr>
      <xdr:grpSpPr>
        <a:xfrm>
          <a:off x="0" y="245110"/>
          <a:ext cx="6391275" cy="545465"/>
          <a:chOff x="5305011" y="948359"/>
          <a:chExt cx="5859945" cy="419306"/>
        </a:xfrm>
      </xdr:grpSpPr>
      <xdr:pic>
        <xdr:nvPicPr>
          <xdr:cNvPr id="5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705475" cy="39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6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7" name="Text Box 9"/>
          <xdr:cNvSpPr txBox="1">
            <a:spLocks noChangeArrowheads="1"/>
          </xdr:cNvSpPr>
        </xdr:nvSpPr>
        <xdr:spPr>
          <a:xfrm>
            <a:off x="6776885" y="1129863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8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17779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17779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481139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1533525</xdr:colOff>
      <xdr:row>91</xdr:row>
      <xdr:rowOff>133350</xdr:rowOff>
    </xdr:from>
    <xdr:to>
      <xdr:col>4</xdr:col>
      <xdr:colOff>76200</xdr:colOff>
      <xdr:row>92</xdr:row>
      <xdr:rowOff>71438</xdr:rowOff>
    </xdr:to>
    <xdr:sp>
      <xdr:nvSpPr>
        <xdr:cNvPr id="2" name="Rectangle 1"/>
        <xdr:cNvSpPr>
          <a:spLocks noChangeArrowheads="1"/>
        </xdr:cNvSpPr>
      </xdr:nvSpPr>
      <xdr:spPr>
        <a:xfrm>
          <a:off x="3105150" y="17679035"/>
          <a:ext cx="1695450" cy="137795"/>
        </a:xfrm>
        <a:prstGeom prst="rect">
          <a:avLst/>
        </a:prstGeom>
        <a:noFill/>
        <a:ln w="0">
          <a:noFill/>
          <a:miter lim="800000"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zh-CN" sz="1100" b="0" i="0" strike="noStrike">
              <a:solidFill>
                <a:srgbClr val="000000"/>
              </a:solidFill>
              <a:latin typeface="Malgun Gothic" panose="020B0503020000020004" charset="-127"/>
              <a:ea typeface="Malgun Gothic" panose="020B0503020000020004" charset="-127"/>
            </a:rPr>
            <a:t>- THE END</a:t>
          </a:r>
          <a:endParaRPr lang="en-US" altLang="zh-CN" sz="1100" b="0" i="0" strike="noStrike">
            <a:solidFill>
              <a:srgbClr val="000000"/>
            </a:solidFill>
            <a:latin typeface="Malgun Gothic" panose="020B0503020000020004" charset="-127"/>
            <a:ea typeface="Malgun Gothic" panose="020B0503020000020004" charset="-127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1533525</xdr:colOff>
      <xdr:row>92</xdr:row>
      <xdr:rowOff>133350</xdr:rowOff>
    </xdr:from>
    <xdr:to>
      <xdr:col>4</xdr:col>
      <xdr:colOff>76200</xdr:colOff>
      <xdr:row>93</xdr:row>
      <xdr:rowOff>71438</xdr:rowOff>
    </xdr:to>
    <xdr:sp>
      <xdr:nvSpPr>
        <xdr:cNvPr id="2" name="Rectangle 1"/>
        <xdr:cNvSpPr>
          <a:spLocks noChangeArrowheads="1"/>
        </xdr:cNvSpPr>
      </xdr:nvSpPr>
      <xdr:spPr>
        <a:xfrm>
          <a:off x="2948305" y="18260060"/>
          <a:ext cx="1490980" cy="137795"/>
        </a:xfrm>
        <a:prstGeom prst="rect">
          <a:avLst/>
        </a:prstGeom>
        <a:noFill/>
        <a:ln w="0">
          <a:noFill/>
          <a:miter lim="800000"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zh-CN" sz="1100" b="0" i="0" strike="noStrike">
              <a:solidFill>
                <a:srgbClr val="000000"/>
              </a:solidFill>
              <a:latin typeface="Malgun Gothic" panose="020B0503020000020004" charset="-127"/>
              <a:ea typeface="Malgun Gothic" panose="020B0503020000020004" charset="-127"/>
            </a:rPr>
            <a:t>- THE END</a:t>
          </a:r>
          <a:endParaRPr lang="en-US" altLang="zh-CN" sz="1100" b="0" i="0" strike="noStrike">
            <a:solidFill>
              <a:srgbClr val="000000"/>
            </a:solidFill>
            <a:latin typeface="Malgun Gothic" panose="020B0503020000020004" charset="-127"/>
            <a:ea typeface="Malgun Gothic" panose="020B0503020000020004" charset="-127"/>
          </a:endParaRPr>
        </a:p>
      </xdr:txBody>
    </xdr:sp>
    <xdr:clientData/>
  </xdr:twoCellAnchor>
  <xdr:twoCellAnchor>
    <xdr:from>
      <xdr:col>0</xdr:col>
      <xdr:colOff>0</xdr:colOff>
      <xdr:row>0</xdr:row>
      <xdr:rowOff>45556</xdr:rowOff>
    </xdr:from>
    <xdr:to>
      <xdr:col>5</xdr:col>
      <xdr:colOff>1128713</xdr:colOff>
      <xdr:row>0</xdr:row>
      <xdr:rowOff>514350</xdr:rowOff>
    </xdr:to>
    <xdr:grpSp>
      <xdr:nvGrpSpPr>
        <xdr:cNvPr id="3" name="组合 2"/>
        <xdr:cNvGrpSpPr/>
      </xdr:nvGrpSpPr>
      <xdr:grpSpPr>
        <a:xfrm>
          <a:off x="0" y="45085"/>
          <a:ext cx="6072505" cy="469265"/>
          <a:chOff x="5305011" y="948359"/>
          <a:chExt cx="5859945" cy="419306"/>
        </a:xfrm>
      </xdr:grpSpPr>
      <xdr:pic>
        <xdr:nvPicPr>
          <xdr:cNvPr id="4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705475" cy="39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5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6" name="Text Box 9"/>
          <xdr:cNvSpPr txBox="1">
            <a:spLocks noChangeArrowheads="1"/>
          </xdr:cNvSpPr>
        </xdr:nvSpPr>
        <xdr:spPr>
          <a:xfrm>
            <a:off x="6776885" y="1129863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7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1533525</xdr:colOff>
      <xdr:row>91</xdr:row>
      <xdr:rowOff>133350</xdr:rowOff>
    </xdr:from>
    <xdr:to>
      <xdr:col>4</xdr:col>
      <xdr:colOff>76200</xdr:colOff>
      <xdr:row>92</xdr:row>
      <xdr:rowOff>71438</xdr:rowOff>
    </xdr:to>
    <xdr:sp>
      <xdr:nvSpPr>
        <xdr:cNvPr id="2" name="Rectangle 1"/>
        <xdr:cNvSpPr>
          <a:spLocks noChangeArrowheads="1"/>
        </xdr:cNvSpPr>
      </xdr:nvSpPr>
      <xdr:spPr>
        <a:xfrm>
          <a:off x="2886075" y="18655665"/>
          <a:ext cx="1824355" cy="137795"/>
        </a:xfrm>
        <a:prstGeom prst="rect">
          <a:avLst/>
        </a:prstGeom>
        <a:noFill/>
        <a:ln w="0">
          <a:noFill/>
          <a:miter lim="800000"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zh-CN" sz="1100" b="0" i="0" strike="noStrike">
              <a:solidFill>
                <a:srgbClr val="000000"/>
              </a:solidFill>
              <a:latin typeface="Malgun Gothic" panose="020B0503020000020004" charset="-127"/>
              <a:ea typeface="Malgun Gothic" panose="020B0503020000020004" charset="-127"/>
            </a:rPr>
            <a:t>- THE END</a:t>
          </a:r>
          <a:endParaRPr lang="en-US" altLang="zh-CN" sz="1100" b="0" i="0" strike="noStrike">
            <a:solidFill>
              <a:srgbClr val="000000"/>
            </a:solidFill>
            <a:latin typeface="Malgun Gothic" panose="020B0503020000020004" charset="-127"/>
            <a:ea typeface="Malgun Gothic" panose="020B0503020000020004" charset="-127"/>
          </a:endParaRPr>
        </a:p>
      </xdr:txBody>
    </xdr:sp>
    <xdr:clientData/>
  </xdr:twoCellAnchor>
  <xdr:twoCellAnchor>
    <xdr:from>
      <xdr:col>0</xdr:col>
      <xdr:colOff>0</xdr:colOff>
      <xdr:row>0</xdr:row>
      <xdr:rowOff>45556</xdr:rowOff>
    </xdr:from>
    <xdr:to>
      <xdr:col>5</xdr:col>
      <xdr:colOff>1128713</xdr:colOff>
      <xdr:row>0</xdr:row>
      <xdr:rowOff>514350</xdr:rowOff>
    </xdr:to>
    <xdr:grpSp>
      <xdr:nvGrpSpPr>
        <xdr:cNvPr id="3" name="组合 2"/>
        <xdr:cNvGrpSpPr/>
      </xdr:nvGrpSpPr>
      <xdr:grpSpPr>
        <a:xfrm>
          <a:off x="0" y="45085"/>
          <a:ext cx="6343650" cy="469265"/>
          <a:chOff x="5305011" y="948359"/>
          <a:chExt cx="5859945" cy="419306"/>
        </a:xfrm>
      </xdr:grpSpPr>
      <xdr:pic>
        <xdr:nvPicPr>
          <xdr:cNvPr id="4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705475" cy="39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5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6" name="Text Box 9"/>
          <xdr:cNvSpPr txBox="1">
            <a:spLocks noChangeArrowheads="1"/>
          </xdr:cNvSpPr>
        </xdr:nvSpPr>
        <xdr:spPr>
          <a:xfrm>
            <a:off x="6776885" y="1129863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7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  <xdr:oneCellAnchor>
    <xdr:from>
      <xdr:col>4</xdr:col>
      <xdr:colOff>295275</xdr:colOff>
      <xdr:row>1</xdr:row>
      <xdr:rowOff>114300</xdr:rowOff>
    </xdr:from>
    <xdr:ext cx="1285875" cy="405432"/>
    <xdr:sp>
      <xdr:nvSpPr>
        <xdr:cNvPr id="9" name="TextBox 8"/>
        <xdr:cNvSpPr txBox="1"/>
      </xdr:nvSpPr>
      <xdr:spPr>
        <a:xfrm>
          <a:off x="4929505" y="70485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45556</xdr:rowOff>
    </xdr:from>
    <xdr:to>
      <xdr:col>5</xdr:col>
      <xdr:colOff>1128713</xdr:colOff>
      <xdr:row>0</xdr:row>
      <xdr:rowOff>514350</xdr:rowOff>
    </xdr:to>
    <xdr:grpSp>
      <xdr:nvGrpSpPr>
        <xdr:cNvPr id="3" name="组合 2"/>
        <xdr:cNvGrpSpPr/>
      </xdr:nvGrpSpPr>
      <xdr:grpSpPr>
        <a:xfrm>
          <a:off x="0" y="45085"/>
          <a:ext cx="6386830" cy="469265"/>
          <a:chOff x="5305011" y="948359"/>
          <a:chExt cx="5859945" cy="419306"/>
        </a:xfrm>
      </xdr:grpSpPr>
      <xdr:pic>
        <xdr:nvPicPr>
          <xdr:cNvPr id="4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705475" cy="39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5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6" name="Text Box 9"/>
          <xdr:cNvSpPr txBox="1">
            <a:spLocks noChangeArrowheads="1"/>
          </xdr:cNvSpPr>
        </xdr:nvSpPr>
        <xdr:spPr>
          <a:xfrm>
            <a:off x="6776885" y="1112822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7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839335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839335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11111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11111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130165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28576</xdr:rowOff>
    </xdr:from>
    <xdr:to>
      <xdr:col>8</xdr:col>
      <xdr:colOff>47625</xdr:colOff>
      <xdr:row>1</xdr:row>
      <xdr:rowOff>219281</xdr:rowOff>
    </xdr:to>
    <xdr:pic>
      <xdr:nvPicPr>
        <xdr:cNvPr id="5" name="Picture 7" descr="H:\SSD 设计资料\EASY-TECH设计\word模板 页眉2.pngword模板 页眉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28575"/>
          <a:ext cx="570674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385184</xdr:colOff>
      <xdr:row>0</xdr:row>
      <xdr:rowOff>6482</xdr:rowOff>
    </xdr:from>
    <xdr:to>
      <xdr:col>8</xdr:col>
      <xdr:colOff>85501</xdr:colOff>
      <xdr:row>1</xdr:row>
      <xdr:rowOff>60563</xdr:rowOff>
    </xdr:to>
    <xdr:sp>
      <xdr:nvSpPr>
        <xdr:cNvPr id="2" name="Text Box 8"/>
        <xdr:cNvSpPr txBox="1">
          <a:spLocks noChangeArrowheads="1"/>
        </xdr:cNvSpPr>
      </xdr:nvSpPr>
      <xdr:spPr>
        <a:xfrm>
          <a:off x="4385945" y="6350"/>
          <a:ext cx="1358265" cy="254000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TEL</a:t>
          </a:r>
          <a:r>
            <a:rPr lang="zh-CN" altLang="en-US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： </a:t>
          </a:r>
          <a:r>
            <a:rPr lang="en-US" altLang="zh-CN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+86-532-80997885</a:t>
          </a:r>
          <a:endParaRPr lang="en-US" altLang="zh-CN" sz="750" b="0" i="0" u="none" strike="noStrike" baseline="0">
            <a:solidFill>
              <a:srgbClr val="595959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US" altLang="zh-CN" sz="750" b="0" i="0" u="none" strike="noStrike" baseline="0">
            <a:solidFill>
              <a:srgbClr val="595959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300300</xdr:colOff>
      <xdr:row>0</xdr:row>
      <xdr:rowOff>181504</xdr:rowOff>
    </xdr:from>
    <xdr:to>
      <xdr:col>8</xdr:col>
      <xdr:colOff>130555</xdr:colOff>
      <xdr:row>1</xdr:row>
      <xdr:rowOff>253735</xdr:rowOff>
    </xdr:to>
    <xdr:sp>
      <xdr:nvSpPr>
        <xdr:cNvPr id="3" name="Text Box 9"/>
        <xdr:cNvSpPr txBox="1">
          <a:spLocks noChangeArrowheads="1"/>
        </xdr:cNvSpPr>
      </xdr:nvSpPr>
      <xdr:spPr>
        <a:xfrm>
          <a:off x="1471295" y="180975"/>
          <a:ext cx="4318000" cy="272415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Add.</a:t>
          </a:r>
          <a:r>
            <a:rPr lang="zh-CN" altLang="en-US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：</a:t>
          </a:r>
          <a:r>
            <a:rPr lang="en-US" altLang="zh-CN" sz="750" b="0" i="0" u="none" strike="noStrike" baseline="0">
              <a:solidFill>
                <a:srgbClr val="595959"/>
              </a:solidFill>
              <a:latin typeface="微软雅黑" panose="020B0503020204020204" charset="-122"/>
              <a:ea typeface="微软雅黑" panose="020B0503020204020204" charset="-122"/>
            </a:rPr>
            <a:t>Rm A903, Art&amp;Technology Space, No. 63, Haier Rd,Laoshan District, Qingdao, China</a:t>
          </a:r>
          <a:endParaRPr lang="en-US" altLang="zh-CN" sz="750" b="0" i="0" u="none" strike="noStrike" baseline="0">
            <a:solidFill>
              <a:srgbClr val="595959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US" altLang="zh-CN" sz="750" b="0" i="0" u="none" strike="noStrike" baseline="0">
            <a:solidFill>
              <a:srgbClr val="595959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295429</xdr:colOff>
      <xdr:row>0</xdr:row>
      <xdr:rowOff>0</xdr:rowOff>
    </xdr:from>
    <xdr:to>
      <xdr:col>5</xdr:col>
      <xdr:colOff>211671</xdr:colOff>
      <xdr:row>1</xdr:row>
      <xdr:rowOff>91678</xdr:rowOff>
    </xdr:to>
    <xdr:sp>
      <xdr:nvSpPr>
        <xdr:cNvPr id="4" name="Text Box 10"/>
        <xdr:cNvSpPr txBox="1">
          <a:spLocks noChangeArrowheads="1"/>
        </xdr:cNvSpPr>
      </xdr:nvSpPr>
      <xdr:spPr>
        <a:xfrm>
          <a:off x="1466850" y="0"/>
          <a:ext cx="2745740" cy="291465"/>
        </a:xfrm>
        <a:prstGeom prst="rect">
          <a:avLst/>
        </a:prstGeom>
        <a:noFill/>
        <a:ln w="6350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altLang="zh-CN" sz="900" b="1" i="0" u="none" strike="noStrike" baseline="0">
              <a:solidFill>
                <a:srgbClr val="404040"/>
              </a:solidFill>
              <a:latin typeface="微软雅黑" panose="020B0503020204020204" charset="-122"/>
              <a:ea typeface="微软雅黑" panose="020B0503020204020204" charset="-122"/>
            </a:rPr>
            <a:t>Qingdao Easy-Tech Imp.&amp;Exp. co.,ltd</a:t>
          </a:r>
          <a:endParaRPr lang="en-US" altLang="zh-CN" sz="900" b="1" i="0" u="none" strike="noStrike" baseline="0">
            <a:solidFill>
              <a:srgbClr val="404040"/>
            </a:solidFill>
            <a:latin typeface="Times New Roman" panose="02020603050405020304" pitchFamily="12"/>
            <a:cs typeface="Times New Roman" panose="02020603050405020304" pitchFamily="12"/>
          </a:endParaRPr>
        </a:p>
        <a:p>
          <a:pPr algn="l" rtl="0">
            <a:defRPr sz="1000"/>
          </a:pPr>
          <a:endParaRPr lang="en-US" altLang="zh-CN" sz="900" b="1" i="0" u="none" strike="noStrike" baseline="0">
            <a:solidFill>
              <a:srgbClr val="40404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1533525</xdr:colOff>
      <xdr:row>99</xdr:row>
      <xdr:rowOff>133350</xdr:rowOff>
    </xdr:from>
    <xdr:to>
      <xdr:col>4</xdr:col>
      <xdr:colOff>76200</xdr:colOff>
      <xdr:row>100</xdr:row>
      <xdr:rowOff>71438</xdr:rowOff>
    </xdr:to>
    <xdr:sp>
      <xdr:nvSpPr>
        <xdr:cNvPr id="1025" name="Rectangle 1"/>
        <xdr:cNvSpPr>
          <a:spLocks noChangeArrowheads="1"/>
        </xdr:cNvSpPr>
      </xdr:nvSpPr>
      <xdr:spPr>
        <a:xfrm>
          <a:off x="3105150" y="19669760"/>
          <a:ext cx="1695450" cy="137795"/>
        </a:xfrm>
        <a:prstGeom prst="rect">
          <a:avLst/>
        </a:prstGeom>
        <a:noFill/>
        <a:ln w="0">
          <a:noFill/>
          <a:miter lim="800000"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altLang="zh-CN" sz="1100" b="0" i="0" strike="noStrike">
              <a:solidFill>
                <a:srgbClr val="000000"/>
              </a:solidFill>
              <a:latin typeface="Malgun Gothic" panose="020B0503020000020004" charset="-127"/>
              <a:ea typeface="Malgun Gothic" panose="020B0503020000020004" charset="-127"/>
            </a:rPr>
            <a:t>- THE END</a:t>
          </a:r>
          <a:endParaRPr lang="en-US" altLang="zh-CN" sz="1100" b="0" i="0" strike="noStrike">
            <a:solidFill>
              <a:srgbClr val="000000"/>
            </a:solidFill>
            <a:latin typeface="Malgun Gothic" panose="020B0503020000020004" charset="-127"/>
            <a:ea typeface="Malgun Gothic" panose="020B0503020000020004" charset="-127"/>
          </a:endParaRPr>
        </a:p>
      </xdr:txBody>
    </xdr:sp>
    <xdr:clientData/>
  </xdr:twoCellAnchor>
  <xdr:twoCellAnchor>
    <xdr:from>
      <xdr:col>0</xdr:col>
      <xdr:colOff>0</xdr:colOff>
      <xdr:row>0</xdr:row>
      <xdr:rowOff>45555</xdr:rowOff>
    </xdr:from>
    <xdr:to>
      <xdr:col>5</xdr:col>
      <xdr:colOff>1002195</xdr:colOff>
      <xdr:row>1</xdr:row>
      <xdr:rowOff>4142</xdr:rowOff>
    </xdr:to>
    <xdr:grpSp>
      <xdr:nvGrpSpPr>
        <xdr:cNvPr id="12" name="组合 11"/>
        <xdr:cNvGrpSpPr/>
      </xdr:nvGrpSpPr>
      <xdr:grpSpPr>
        <a:xfrm>
          <a:off x="0" y="45085"/>
          <a:ext cx="6307455" cy="549275"/>
          <a:chOff x="5305011" y="948359"/>
          <a:chExt cx="5859945" cy="419306"/>
        </a:xfrm>
      </xdr:grpSpPr>
      <xdr:pic>
        <xdr:nvPicPr>
          <xdr:cNvPr id="8" name="Picture 7" descr="H:\SSD 设计资料\EASY-TECH设计\word模板 页眉2.pngword模板 页眉2"/>
          <xdr:cNvPicPr>
            <a:picLocks noChangeAspect="1" noChangeArrowheads="1"/>
          </xdr:cNvPicPr>
        </xdr:nvPicPr>
        <xdr:blipFill>
          <a:blip r:embed="rId1" cstate="print"/>
          <a:srcRect/>
          <a:stretch>
            <a:fillRect/>
          </a:stretch>
        </xdr:blipFill>
        <xdr:spPr>
          <a:xfrm>
            <a:off x="5305011" y="976935"/>
            <a:ext cx="5705475" cy="39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>
        <xdr:nvSpPr>
          <xdr:cNvPr id="9" name="Text Box 8"/>
          <xdr:cNvSpPr txBox="1">
            <a:spLocks noChangeArrowheads="1"/>
          </xdr:cNvSpPr>
        </xdr:nvSpPr>
        <xdr:spPr>
          <a:xfrm>
            <a:off x="9690695" y="954841"/>
            <a:ext cx="1357667" cy="254106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TEL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 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+86-532-80997885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10" name="Text Box 9"/>
          <xdr:cNvSpPr txBox="1">
            <a:spLocks noChangeArrowheads="1"/>
          </xdr:cNvSpPr>
        </xdr:nvSpPr>
        <xdr:spPr>
          <a:xfrm>
            <a:off x="6776885" y="1129863"/>
            <a:ext cx="4388071" cy="153924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Add.</a:t>
            </a:r>
            <a:r>
              <a:rPr lang="zh-CN" altLang="en-US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：</a:t>
            </a:r>
            <a:r>
              <a:rPr lang="en-US" altLang="zh-CN" sz="750" b="0" i="0" u="none" strike="noStrike" baseline="0">
                <a:solidFill>
                  <a:srgbClr val="595959"/>
                </a:solidFill>
                <a:latin typeface="微软雅黑" panose="020B0503020204020204" charset="-122"/>
                <a:ea typeface="微软雅黑" panose="020B0503020204020204" charset="-122"/>
              </a:rPr>
              <a:t>Rm A903, Art&amp;Technology Space, No. 63, Haier Rd,Laoshan District, Qingdao, China</a:t>
            </a: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750" b="0" i="0" u="none" strike="noStrike" baseline="0">
              <a:solidFill>
                <a:srgbClr val="595959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  <xdr:sp>
        <xdr:nvSpPr>
          <xdr:cNvPr id="11" name="Text Box 10"/>
          <xdr:cNvSpPr txBox="1">
            <a:spLocks noChangeArrowheads="1"/>
          </xdr:cNvSpPr>
        </xdr:nvSpPr>
        <xdr:spPr>
          <a:xfrm>
            <a:off x="6772015" y="948359"/>
            <a:ext cx="2745167" cy="291703"/>
          </a:xfrm>
          <a:prstGeom prst="rect">
            <a:avLst/>
          </a:prstGeom>
          <a:noFill/>
          <a:ln w="6350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altLang="zh-CN" sz="900" b="1" i="0" u="none" strike="noStrike" baseline="0">
                <a:solidFill>
                  <a:srgbClr val="404040"/>
                </a:solidFill>
                <a:latin typeface="微软雅黑" panose="020B0503020204020204" charset="-122"/>
                <a:ea typeface="微软雅黑" panose="020B0503020204020204" charset="-122"/>
              </a:rPr>
              <a:t>Qingdao Easy-Tech Imp.&amp;Exp. co.,ltd</a:t>
            </a: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  <a:p>
            <a:pPr algn="l" rtl="0">
              <a:defRPr sz="1000"/>
            </a:pPr>
            <a:endParaRPr lang="en-US" altLang="zh-CN" sz="900" b="1" i="0" u="none" strike="noStrike" baseline="0">
              <a:solidFill>
                <a:srgbClr val="404040"/>
              </a:solidFill>
              <a:latin typeface="Times New Roman" panose="02020603050405020304" pitchFamily="12"/>
              <a:cs typeface="Times New Roman" panose="02020603050405020304" pitchFamily="12"/>
            </a:endParaRPr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4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49720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03936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03936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3</xdr:col>
      <xdr:colOff>695325</xdr:colOff>
      <xdr:row>1</xdr:row>
      <xdr:rowOff>66675</xdr:rowOff>
    </xdr:from>
    <xdr:ext cx="1285875" cy="405432"/>
    <xdr:sp>
      <xdr:nvSpPr>
        <xdr:cNvPr id="3" name="TextBox 2"/>
        <xdr:cNvSpPr txBox="1"/>
      </xdr:nvSpPr>
      <xdr:spPr>
        <a:xfrm>
          <a:off x="518160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03936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  <xdr:oneCellAnchor>
    <xdr:from>
      <xdr:col>5</xdr:col>
      <xdr:colOff>133350</xdr:colOff>
      <xdr:row>1</xdr:row>
      <xdr:rowOff>66675</xdr:rowOff>
    </xdr:from>
    <xdr:ext cx="1295399" cy="405432"/>
    <xdr:sp>
      <xdr:nvSpPr>
        <xdr:cNvPr id="3" name="TextBox 2"/>
        <xdr:cNvSpPr txBox="1"/>
      </xdr:nvSpPr>
      <xdr:spPr>
        <a:xfrm>
          <a:off x="503936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13335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13335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13335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13335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0863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08635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476250</xdr:colOff>
      <xdr:row>1</xdr:row>
      <xdr:rowOff>114300</xdr:rowOff>
    </xdr:from>
    <xdr:ext cx="1295399" cy="405432"/>
    <xdr:sp>
      <xdr:nvSpPr>
        <xdr:cNvPr id="2" name="TextBox 1"/>
        <xdr:cNvSpPr txBox="1"/>
      </xdr:nvSpPr>
      <xdr:spPr>
        <a:xfrm>
          <a:off x="5324475" y="261620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695325</xdr:colOff>
      <xdr:row>1</xdr:row>
      <xdr:rowOff>66675</xdr:rowOff>
    </xdr:from>
    <xdr:ext cx="1285875" cy="405432"/>
    <xdr:sp>
      <xdr:nvSpPr>
        <xdr:cNvPr id="2" name="TextBox 1"/>
        <xdr:cNvSpPr txBox="1"/>
      </xdr:nvSpPr>
      <xdr:spPr>
        <a:xfrm>
          <a:off x="5181600" y="266700"/>
          <a:ext cx="128587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133350</xdr:colOff>
      <xdr:row>1</xdr:row>
      <xdr:rowOff>66675</xdr:rowOff>
    </xdr:from>
    <xdr:ext cx="1295399" cy="405432"/>
    <xdr:sp>
      <xdr:nvSpPr>
        <xdr:cNvPr id="2" name="TextBox 1"/>
        <xdr:cNvSpPr txBox="1"/>
      </xdr:nvSpPr>
      <xdr:spPr>
        <a:xfrm>
          <a:off x="5039360" y="213995"/>
          <a:ext cx="1294765" cy="40513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1028700</xdr:colOff>
      <xdr:row>0</xdr:row>
      <xdr:rowOff>600075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76200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638175</xdr:colOff>
      <xdr:row>1</xdr:row>
      <xdr:rowOff>76200</xdr:rowOff>
    </xdr:from>
    <xdr:ext cx="1295399" cy="419100"/>
    <xdr:sp>
      <xdr:nvSpPr>
        <xdr:cNvPr id="2" name="TextBox 1"/>
        <xdr:cNvSpPr txBox="1"/>
      </xdr:nvSpPr>
      <xdr:spPr>
        <a:xfrm>
          <a:off x="4895850" y="676275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1028700</xdr:colOff>
      <xdr:row>0</xdr:row>
      <xdr:rowOff>600075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76200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1028700</xdr:colOff>
      <xdr:row>0</xdr:row>
      <xdr:rowOff>600075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76200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1028700</xdr:colOff>
      <xdr:row>0</xdr:row>
      <xdr:rowOff>600075</xdr:rowOff>
    </xdr:to>
    <xdr:pic>
      <xdr:nvPicPr>
        <xdr:cNvPr id="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76200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638175</xdr:colOff>
      <xdr:row>1</xdr:row>
      <xdr:rowOff>76200</xdr:rowOff>
    </xdr:from>
    <xdr:ext cx="1295399" cy="419100"/>
    <xdr:sp>
      <xdr:nvSpPr>
        <xdr:cNvPr id="3" name="TextBox 2"/>
        <xdr:cNvSpPr txBox="1"/>
      </xdr:nvSpPr>
      <xdr:spPr>
        <a:xfrm>
          <a:off x="4895850" y="676275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9298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76200</xdr:rowOff>
    </xdr:from>
    <xdr:to>
      <xdr:col>1</xdr:col>
      <xdr:colOff>1028700</xdr:colOff>
      <xdr:row>0</xdr:row>
      <xdr:rowOff>600075</xdr:rowOff>
    </xdr:to>
    <xdr:pic>
      <xdr:nvPicPr>
        <xdr:cNvPr id="8274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76200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7293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56222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4276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8384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</xdr:col>
      <xdr:colOff>638175</xdr:colOff>
      <xdr:row>1</xdr:row>
      <xdr:rowOff>76200</xdr:rowOff>
    </xdr:from>
    <xdr:ext cx="1295399" cy="419100"/>
    <xdr:sp>
      <xdr:nvSpPr>
        <xdr:cNvPr id="3" name="TextBox 2"/>
        <xdr:cNvSpPr txBox="1"/>
      </xdr:nvSpPr>
      <xdr:spPr>
        <a:xfrm>
          <a:off x="5276850" y="676275"/>
          <a:ext cx="1294765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57150</xdr:rowOff>
    </xdr:from>
    <xdr:to>
      <xdr:col>1</xdr:col>
      <xdr:colOff>1028700</xdr:colOff>
      <xdr:row>0</xdr:row>
      <xdr:rowOff>581025</xdr:rowOff>
    </xdr:to>
    <xdr:pic>
      <xdr:nvPicPr>
        <xdr:cNvPr id="5311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57150"/>
          <a:ext cx="2847975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4</xdr:col>
      <xdr:colOff>266701</xdr:colOff>
      <xdr:row>1</xdr:row>
      <xdr:rowOff>57150</xdr:rowOff>
    </xdr:from>
    <xdr:ext cx="1295399" cy="419100"/>
    <xdr:sp>
      <xdr:nvSpPr>
        <xdr:cNvPr id="3" name="TextBox 2"/>
        <xdr:cNvSpPr txBox="1"/>
      </xdr:nvSpPr>
      <xdr:spPr>
        <a:xfrm>
          <a:off x="5343525" y="657225"/>
          <a:ext cx="1295400" cy="4191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altLang="zh-CN" sz="2000" b="1"/>
            <a:t>ORIGINAL</a:t>
          </a:r>
          <a:endParaRPr lang="zh-CN" altLang="en-US" sz="2000" b="1"/>
        </a:p>
      </xdr:txBody>
    </xdr:sp>
    <xdr:clientData/>
  </xdr:one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552450</xdr:colOff>
      <xdr:row>42</xdr:row>
      <xdr:rowOff>123825</xdr:rowOff>
    </xdr:from>
    <xdr:to>
      <xdr:col>4</xdr:col>
      <xdr:colOff>552450</xdr:colOff>
      <xdr:row>48</xdr:row>
      <xdr:rowOff>104775</xdr:rowOff>
    </xdr:to>
    <xdr:pic>
      <xdr:nvPicPr>
        <xdr:cNvPr id="1190" name="图片 1" descr="2.png"/>
        <xdr:cNvPicPr>
          <a:picLocks noChangeAspect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867275" y="7458075"/>
          <a:ext cx="1076325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990600</xdr:colOff>
      <xdr:row>0</xdr:row>
      <xdr:rowOff>571500</xdr:rowOff>
    </xdr:to>
    <xdr:pic>
      <xdr:nvPicPr>
        <xdr:cNvPr id="6272" name="_x105937104" descr="EMB0000121009aa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47625"/>
          <a:ext cx="23050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733425</xdr:colOff>
      <xdr:row>36</xdr:row>
      <xdr:rowOff>47625</xdr:rowOff>
    </xdr:from>
    <xdr:to>
      <xdr:col>5</xdr:col>
      <xdr:colOff>228600</xdr:colOff>
      <xdr:row>43</xdr:row>
      <xdr:rowOff>38100</xdr:rowOff>
    </xdr:to>
    <xdr:pic>
      <xdr:nvPicPr>
        <xdr:cNvPr id="2214" name="图片 1" descr="2.png"/>
        <xdr:cNvPicPr>
          <a:picLocks noChangeAspect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762500" y="6312535"/>
          <a:ext cx="1076325" cy="1074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4" workbookViewId="0">
      <selection activeCell="C15" sqref="C15:F15"/>
    </sheetView>
  </sheetViews>
  <sheetFormatPr defaultColWidth="9" defaultRowHeight="15.75"/>
  <cols>
    <col min="1" max="1" width="18.9416666666667" customWidth="1"/>
    <col min="2" max="2" width="21.9416666666667" customWidth="1"/>
    <col min="3" max="3" width="13.75" customWidth="1"/>
    <col min="4" max="4" width="6.75" customWidth="1"/>
    <col min="5" max="5" width="7.625" customWidth="1"/>
    <col min="6" max="6" width="15.5" customWidth="1"/>
    <col min="10" max="10" width="9.5" customWidth="1"/>
  </cols>
  <sheetData>
    <row r="1" ht="52.9" customHeight="1"/>
    <row r="2" ht="51.4" customHeight="1" spans="1:7">
      <c r="A2" s="2" t="s">
        <v>0</v>
      </c>
      <c r="B2" s="2"/>
      <c r="C2" s="2"/>
      <c r="D2" s="2"/>
      <c r="E2" s="2"/>
      <c r="F2" s="2"/>
      <c r="G2" s="56"/>
    </row>
    <row r="3" spans="1:7">
      <c r="A3" s="2"/>
      <c r="B3" s="2"/>
      <c r="C3" s="2"/>
      <c r="D3" s="2"/>
      <c r="E3" s="2"/>
      <c r="F3" s="2"/>
      <c r="G3" s="56"/>
    </row>
    <row r="4" ht="9.75" customHeight="1" spans="1:7">
      <c r="A4" s="2"/>
      <c r="B4" s="2"/>
      <c r="C4" s="2"/>
      <c r="D4" s="2"/>
      <c r="E4" s="2"/>
      <c r="F4" s="2"/>
      <c r="G4" s="56"/>
    </row>
    <row r="5" hidden="1" spans="1:7">
      <c r="A5" s="2"/>
      <c r="B5" s="2"/>
      <c r="C5" s="2"/>
      <c r="D5" s="2"/>
      <c r="E5" s="2"/>
      <c r="F5" s="2"/>
      <c r="G5" s="57"/>
    </row>
    <row r="6" ht="2.25" customHeight="1" spans="1:7">
      <c r="A6" s="2"/>
      <c r="B6" s="2"/>
      <c r="C6" s="2"/>
      <c r="D6" s="2"/>
      <c r="E6" s="2"/>
      <c r="F6" s="2"/>
    </row>
    <row r="7" ht="13.5" hidden="1" customHeight="1" spans="1:7">
      <c r="A7" s="2"/>
      <c r="B7" s="2"/>
      <c r="C7" s="2"/>
      <c r="D7" s="2"/>
      <c r="E7" s="2"/>
      <c r="F7" s="2"/>
    </row>
    <row r="8" ht="17.25" hidden="1" customHeight="1" spans="1:7">
      <c r="A8" s="2"/>
      <c r="B8" s="2"/>
      <c r="C8" s="2"/>
      <c r="D8" s="2"/>
      <c r="E8" s="2"/>
      <c r="F8" s="2"/>
    </row>
    <row r="9" ht="6.75" customHeight="1" spans="1:7">
      <c r="A9" s="237"/>
      <c r="B9" s="237"/>
      <c r="C9" s="237"/>
      <c r="D9" s="237"/>
      <c r="E9" s="237"/>
      <c r="F9" s="237"/>
    </row>
    <row r="10" ht="15" customHeight="1" spans="1:7">
      <c r="A10" s="5" t="s">
        <v>1</v>
      </c>
      <c r="B10" s="5"/>
      <c r="C10" s="6" t="s">
        <v>2</v>
      </c>
      <c r="D10" s="5"/>
      <c r="E10" s="5"/>
      <c r="F10" s="5"/>
    </row>
    <row r="11" ht="12" customHeight="1" spans="1:7">
      <c r="A11" s="13" t="s">
        <v>3</v>
      </c>
      <c r="B11" s="14"/>
      <c r="C11" s="9"/>
      <c r="D11" s="7"/>
      <c r="E11" s="7"/>
      <c r="F11" s="7"/>
    </row>
    <row r="12" customHeight="1" spans="1:7">
      <c r="A12" s="13" t="s">
        <v>4</v>
      </c>
      <c r="B12" s="14"/>
      <c r="C12" s="6" t="s">
        <v>5</v>
      </c>
      <c r="D12" s="5"/>
      <c r="E12" s="5"/>
      <c r="F12" s="60"/>
    </row>
    <row r="13" ht="15" customHeight="1" spans="1:7">
      <c r="A13" s="7" t="s">
        <v>6</v>
      </c>
      <c r="B13" s="8"/>
      <c r="C13" s="9"/>
      <c r="D13" s="7"/>
      <c r="E13" s="7"/>
      <c r="F13" s="7"/>
    </row>
    <row r="14" ht="15" customHeight="1" spans="1:7">
      <c r="A14" s="5" t="s">
        <v>7</v>
      </c>
      <c r="B14" s="10"/>
      <c r="C14" s="6" t="s">
        <v>8</v>
      </c>
      <c r="D14" s="60"/>
      <c r="E14" s="60"/>
      <c r="F14" s="60"/>
    </row>
    <row r="15" ht="14.25" customHeight="1" spans="1:7">
      <c r="A15" s="13" t="s">
        <v>9</v>
      </c>
      <c r="B15" s="14"/>
      <c r="C15" s="58" t="s">
        <v>10</v>
      </c>
      <c r="D15" s="59"/>
      <c r="E15" s="59"/>
      <c r="F15" s="59"/>
    </row>
    <row r="16" ht="14.25" customHeight="1" spans="1:7">
      <c r="A16" s="13" t="s">
        <v>11</v>
      </c>
      <c r="B16" s="14"/>
      <c r="C16" s="238" t="s">
        <v>12</v>
      </c>
      <c r="D16" s="239"/>
      <c r="E16" s="239"/>
      <c r="F16" s="239"/>
    </row>
    <row r="17" ht="14.25" customHeight="1" spans="1:6">
      <c r="A17" s="7" t="s">
        <v>13</v>
      </c>
      <c r="B17" s="8"/>
      <c r="C17" s="63" t="s">
        <v>14</v>
      </c>
      <c r="D17" s="13"/>
      <c r="E17" s="13"/>
      <c r="F17" s="13"/>
    </row>
    <row r="18" ht="14.25" customHeight="1" spans="1:6">
      <c r="A18" s="12"/>
      <c r="B18" s="17"/>
      <c r="C18" s="240"/>
      <c r="D18" s="56"/>
      <c r="E18" s="56"/>
      <c r="F18" s="56"/>
    </row>
    <row r="19" ht="19.5" customHeight="1" spans="1:6">
      <c r="A19" s="5" t="s">
        <v>15</v>
      </c>
      <c r="B19" s="10"/>
      <c r="C19" s="241"/>
      <c r="D19" s="242"/>
      <c r="E19" s="242"/>
      <c r="F19" s="242"/>
    </row>
    <row r="20" ht="14.25" customHeight="1" spans="1:6">
      <c r="A20" s="13" t="s">
        <v>16</v>
      </c>
      <c r="B20" s="14"/>
      <c r="C20" s="241"/>
      <c r="D20" s="242"/>
      <c r="E20" s="242"/>
      <c r="F20" s="242"/>
    </row>
    <row r="21" ht="14.25" customHeight="1" spans="1:6">
      <c r="A21" s="13"/>
      <c r="B21" s="14"/>
      <c r="C21" s="241"/>
      <c r="D21" s="242"/>
      <c r="E21" s="242"/>
      <c r="F21" s="242"/>
    </row>
    <row r="22" ht="14.25" customHeight="1" spans="1:6">
      <c r="A22" s="7"/>
      <c r="B22" s="8"/>
      <c r="C22" s="241"/>
      <c r="D22" s="242"/>
      <c r="E22" s="242"/>
      <c r="F22" s="56"/>
    </row>
    <row r="23" spans="1:6">
      <c r="A23" s="10" t="s">
        <v>17</v>
      </c>
      <c r="B23" s="18" t="s">
        <v>18</v>
      </c>
      <c r="C23" s="243"/>
      <c r="D23" s="244"/>
      <c r="E23" s="244"/>
      <c r="F23" s="244"/>
    </row>
    <row r="24" ht="13.15" customHeight="1" spans="1:6">
      <c r="A24" s="19" t="s">
        <v>19</v>
      </c>
      <c r="B24" s="20" t="s">
        <v>20</v>
      </c>
      <c r="C24" s="241"/>
      <c r="D24" s="242"/>
      <c r="E24" s="242"/>
      <c r="F24" s="56"/>
    </row>
    <row r="25" ht="16.5" customHeight="1" spans="1:6">
      <c r="A25" s="10" t="s">
        <v>21</v>
      </c>
      <c r="B25" s="18" t="s">
        <v>22</v>
      </c>
      <c r="C25" s="245"/>
      <c r="D25" s="56"/>
      <c r="E25" s="56"/>
      <c r="F25" s="56"/>
    </row>
    <row r="26" spans="1:6">
      <c r="A26" s="21"/>
      <c r="B26" s="22" t="s">
        <v>23</v>
      </c>
      <c r="C26" s="246"/>
      <c r="D26" s="247"/>
      <c r="E26" s="247"/>
      <c r="F26" s="247"/>
    </row>
    <row r="27" spans="1:6">
      <c r="A27" s="23" t="s">
        <v>24</v>
      </c>
      <c r="B27" s="24" t="s">
        <v>25</v>
      </c>
      <c r="C27" s="25" t="s">
        <v>26</v>
      </c>
      <c r="D27" s="248" t="s">
        <v>27</v>
      </c>
      <c r="E27" s="23"/>
      <c r="F27" s="28" t="s">
        <v>28</v>
      </c>
    </row>
    <row r="28" ht="12" customHeight="1" spans="1:6">
      <c r="A28" s="29"/>
      <c r="B28" s="36"/>
      <c r="C28" s="36" t="s">
        <v>29</v>
      </c>
      <c r="D28" s="36" t="s">
        <v>30</v>
      </c>
      <c r="E28" s="36"/>
      <c r="F28" s="64" t="s">
        <v>31</v>
      </c>
    </row>
    <row r="29" ht="6" customHeight="1" spans="1:6">
      <c r="A29" s="29"/>
      <c r="B29" s="29"/>
      <c r="C29" s="29"/>
      <c r="D29" s="29"/>
      <c r="E29" s="29"/>
      <c r="F29" s="29"/>
    </row>
    <row r="30" ht="11.25" customHeight="1" spans="1:6">
      <c r="A30" s="29" t="s">
        <v>32</v>
      </c>
      <c r="B30" s="29"/>
      <c r="C30" s="29"/>
      <c r="D30" s="30" t="s">
        <v>33</v>
      </c>
      <c r="E30" s="30"/>
      <c r="F30" s="30"/>
    </row>
    <row r="31" ht="13.9" customHeight="1" spans="1:6">
      <c r="A31" s="34" t="s">
        <v>34</v>
      </c>
      <c r="B31" s="34"/>
      <c r="C31" s="31">
        <v>5</v>
      </c>
      <c r="D31" s="300">
        <v>450</v>
      </c>
      <c r="E31" s="300"/>
      <c r="F31" s="300">
        <f>C31*D31</f>
        <v>2250</v>
      </c>
    </row>
    <row r="32" ht="15" customHeight="1" spans="1:6">
      <c r="A32" s="34"/>
      <c r="B32" s="34"/>
      <c r="C32" s="31"/>
      <c r="D32" s="301"/>
      <c r="E32" s="301"/>
      <c r="F32" s="300"/>
    </row>
    <row r="33" ht="15" customHeight="1" spans="1:9">
      <c r="A33" s="30" t="s">
        <v>35</v>
      </c>
      <c r="B33" s="30"/>
      <c r="C33" s="36"/>
      <c r="D33" s="35"/>
      <c r="E33" s="35"/>
      <c r="F33" s="302"/>
    </row>
    <row r="34" ht="15" customHeight="1" spans="1:9">
      <c r="A34" s="37"/>
      <c r="B34" s="37"/>
      <c r="C34" s="37"/>
      <c r="D34" s="38"/>
      <c r="E34" s="38"/>
      <c r="F34" s="303"/>
    </row>
    <row r="35" ht="15" customHeight="1" spans="1:9">
      <c r="A35" s="35"/>
      <c r="B35" s="36" t="s">
        <v>36</v>
      </c>
      <c r="C35" s="36" t="s">
        <v>37</v>
      </c>
      <c r="D35" s="36"/>
      <c r="E35" s="36"/>
      <c r="F35" s="304">
        <f>SUM(F31:F34)</f>
        <v>2250</v>
      </c>
    </row>
    <row r="36" ht="15" customHeight="1" spans="1:9">
      <c r="A36" s="35"/>
      <c r="B36" s="36"/>
      <c r="C36" s="36"/>
      <c r="D36" s="36"/>
      <c r="E36" s="36"/>
      <c r="F36" s="251"/>
    </row>
    <row r="37" spans="1:9">
      <c r="A37" s="39" t="s">
        <v>38</v>
      </c>
      <c r="B37" s="56"/>
      <c r="C37" s="56"/>
      <c r="D37" s="56"/>
      <c r="E37" s="305"/>
      <c r="F37" s="237"/>
    </row>
    <row r="38" spans="1:9">
      <c r="A38" s="306" t="s">
        <v>39</v>
      </c>
      <c r="B38" s="56"/>
      <c r="C38" s="56"/>
      <c r="D38" s="56"/>
      <c r="E38" s="305"/>
      <c r="F38" s="237"/>
    </row>
    <row r="39" spans="1:9">
      <c r="A39" s="306" t="s">
        <v>40</v>
      </c>
      <c r="B39" s="56"/>
      <c r="C39" s="56"/>
      <c r="D39" s="56"/>
      <c r="E39" s="305"/>
      <c r="F39" s="237"/>
    </row>
    <row r="40" spans="1:9">
      <c r="A40" s="306" t="s">
        <v>41</v>
      </c>
      <c r="B40" s="56"/>
      <c r="C40" s="56"/>
      <c r="D40" s="56"/>
      <c r="E40" s="305"/>
      <c r="F40" s="237"/>
      <c r="I40" s="55"/>
    </row>
    <row r="41" spans="1:9">
      <c r="A41" s="306" t="s">
        <v>42</v>
      </c>
      <c r="B41" s="56"/>
      <c r="C41" s="56"/>
      <c r="D41" s="56"/>
      <c r="E41" s="305"/>
      <c r="F41" s="237"/>
      <c r="H41" s="55"/>
      <c r="I41" s="55"/>
    </row>
    <row r="42" spans="1:9">
      <c r="A42" s="307" t="s">
        <v>43</v>
      </c>
      <c r="B42" s="253"/>
      <c r="C42" s="253"/>
      <c r="D42" s="253"/>
      <c r="E42" s="305"/>
      <c r="F42" s="237"/>
      <c r="H42" s="55"/>
      <c r="I42" s="55"/>
    </row>
    <row r="43" spans="1:9">
      <c r="A43" s="306" t="s">
        <v>44</v>
      </c>
      <c r="B43" s="56"/>
      <c r="C43" s="56"/>
      <c r="D43" s="56"/>
      <c r="E43" s="308"/>
      <c r="F43" s="237"/>
    </row>
    <row r="44" spans="1:9">
      <c r="A44" s="306"/>
      <c r="B44" s="56"/>
      <c r="C44" s="56"/>
      <c r="D44" s="56"/>
      <c r="E44" s="308"/>
      <c r="F44" s="237"/>
    </row>
    <row r="45" spans="1:9">
      <c r="A45" s="309" t="s">
        <v>45</v>
      </c>
      <c r="B45" s="305"/>
      <c r="C45" s="310"/>
      <c r="D45" s="305" t="s">
        <v>46</v>
      </c>
      <c r="E45" s="310"/>
      <c r="F45" s="237"/>
    </row>
    <row r="46" spans="1:9">
      <c r="A46" s="305"/>
      <c r="B46" s="305"/>
      <c r="C46" s="310"/>
      <c r="D46" s="305"/>
      <c r="E46" s="310"/>
      <c r="F46" s="237"/>
    </row>
    <row r="47" spans="1:9">
      <c r="A47" s="237"/>
      <c r="B47" s="237"/>
      <c r="D47" s="237"/>
      <c r="F47" s="237"/>
    </row>
    <row r="48" spans="1:9">
      <c r="A48" s="55" t="s">
        <v>47</v>
      </c>
      <c r="B48" s="237"/>
      <c r="D48" s="55" t="s">
        <v>47</v>
      </c>
      <c r="F48" s="237"/>
    </row>
    <row r="49" spans="1:6">
      <c r="A49" s="255"/>
      <c r="B49" s="256"/>
      <c r="C49" s="254"/>
      <c r="D49" s="254"/>
      <c r="E49" s="237"/>
      <c r="F49" s="237"/>
    </row>
    <row r="50" spans="1:6">
      <c r="A50" s="257"/>
      <c r="B50" s="258"/>
    </row>
    <row r="51" spans="1:6">
      <c r="A51" s="258"/>
      <c r="B51" s="258"/>
    </row>
  </sheetData>
  <mergeCells count="29">
    <mergeCell ref="A10:B10"/>
    <mergeCell ref="C10:F10"/>
    <mergeCell ref="A11:B11"/>
    <mergeCell ref="C11:F11"/>
    <mergeCell ref="A12:B12"/>
    <mergeCell ref="A13:B13"/>
    <mergeCell ref="C13:F13"/>
    <mergeCell ref="C14:F14"/>
    <mergeCell ref="A15:B15"/>
    <mergeCell ref="C15:F15"/>
    <mergeCell ref="A16:B16"/>
    <mergeCell ref="A17:B17"/>
    <mergeCell ref="C17:F17"/>
    <mergeCell ref="A18:B18"/>
    <mergeCell ref="A19:B19"/>
    <mergeCell ref="A20:B20"/>
    <mergeCell ref="A21:B21"/>
    <mergeCell ref="A22:B22"/>
    <mergeCell ref="C23:F23"/>
    <mergeCell ref="D27:E27"/>
    <mergeCell ref="A29:F29"/>
    <mergeCell ref="D30:F30"/>
    <mergeCell ref="A31:B31"/>
    <mergeCell ref="D31:E31"/>
    <mergeCell ref="D32:E32"/>
    <mergeCell ref="A33:B33"/>
    <mergeCell ref="A34:B34"/>
    <mergeCell ref="A42:D42"/>
    <mergeCell ref="A2:F8"/>
  </mergeCells>
  <pageMargins left="0.47244094488189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topLeftCell="A13" workbookViewId="0">
      <selection activeCell="C40" sqref="C40"/>
    </sheetView>
  </sheetViews>
  <sheetFormatPr defaultColWidth="9" defaultRowHeight="15.75"/>
  <cols>
    <col min="1" max="1" width="19.375" customWidth="1"/>
    <col min="2" max="2" width="23.375" customWidth="1"/>
    <col min="3" max="3" width="9" customWidth="1"/>
    <col min="4" max="4" width="3.5" customWidth="1"/>
    <col min="5" max="5" width="14.125" customWidth="1"/>
    <col min="6" max="6" width="13.625" customWidth="1"/>
    <col min="7" max="7" width="5.06666666666667" customWidth="1"/>
    <col min="8" max="8" width="13.4416666666667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3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49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51</v>
      </c>
      <c r="D13" s="121"/>
      <c r="E13" s="121"/>
      <c r="F13" s="121"/>
    </row>
    <row r="14" ht="15" customHeight="1" spans="1:6">
      <c r="A14" s="7" t="s">
        <v>52</v>
      </c>
      <c r="B14" s="8"/>
      <c r="C14" s="9" t="s">
        <v>53</v>
      </c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55</v>
      </c>
      <c r="D16" s="59"/>
      <c r="E16" s="59"/>
      <c r="F16" s="59"/>
    </row>
    <row r="17" ht="14.25" customHeight="1" spans="1:8">
      <c r="A17" s="13" t="s">
        <v>56</v>
      </c>
      <c r="B17" s="14"/>
      <c r="C17" s="61" t="s">
        <v>57</v>
      </c>
      <c r="D17" s="62"/>
      <c r="E17" s="62"/>
      <c r="F17" s="62"/>
    </row>
    <row r="18" ht="14.25" customHeight="1" spans="1:8">
      <c r="A18" s="13" t="s">
        <v>58</v>
      </c>
      <c r="B18" s="14"/>
      <c r="C18" s="63"/>
      <c r="D18" s="13"/>
      <c r="E18" s="13"/>
      <c r="F18" s="13"/>
    </row>
    <row r="19" ht="14.25" customHeight="1" spans="1:8">
      <c r="A19" s="7" t="s">
        <v>59</v>
      </c>
      <c r="B19" s="8"/>
      <c r="C19" s="63"/>
      <c r="D19" s="13"/>
      <c r="E19" s="13"/>
      <c r="F19" s="13"/>
    </row>
    <row r="20" ht="14.25" customHeight="1" spans="1:8">
      <c r="A20" s="12"/>
      <c r="B20" s="17"/>
      <c r="C20" s="63"/>
      <c r="D20" s="13"/>
      <c r="E20" s="13"/>
      <c r="F20" s="13"/>
    </row>
    <row r="21" ht="19.5" customHeight="1" spans="1:8">
      <c r="A21" s="5" t="s">
        <v>15</v>
      </c>
      <c r="B21" s="10"/>
      <c r="C21" s="63"/>
      <c r="D21" s="13"/>
      <c r="E21" s="13"/>
      <c r="F21" s="13"/>
    </row>
    <row r="22" ht="14.25" customHeight="1" spans="1:8">
      <c r="A22" s="13" t="s">
        <v>16</v>
      </c>
      <c r="B22" s="14"/>
      <c r="C22" s="63"/>
      <c r="D22" s="13"/>
      <c r="E22" s="13"/>
      <c r="F22" s="13"/>
    </row>
    <row r="23" ht="14.25" customHeight="1" spans="1:8">
      <c r="A23" s="13"/>
      <c r="B23" s="14"/>
      <c r="C23" s="63"/>
      <c r="D23" s="13"/>
      <c r="E23" s="13"/>
      <c r="F23" s="13"/>
    </row>
    <row r="24" ht="14.25" customHeight="1" spans="1:8">
      <c r="A24" s="7"/>
      <c r="B24" s="8"/>
      <c r="C24" s="63"/>
      <c r="D24" s="13"/>
      <c r="E24" s="13"/>
      <c r="F24" s="13"/>
    </row>
    <row r="25" ht="14.25" customHeight="1" spans="1:8">
      <c r="A25" s="10" t="s">
        <v>17</v>
      </c>
      <c r="B25" s="18" t="s">
        <v>18</v>
      </c>
      <c r="C25" s="63"/>
      <c r="D25" s="341"/>
      <c r="E25" s="13"/>
      <c r="F25" s="341"/>
      <c r="H25" s="347"/>
    </row>
    <row r="26" spans="1:8">
      <c r="A26" s="19" t="s">
        <v>60</v>
      </c>
      <c r="B26" s="20" t="s">
        <v>20</v>
      </c>
      <c r="C26" s="63"/>
      <c r="D26" s="13"/>
      <c r="E26" s="13"/>
      <c r="F26" s="13"/>
    </row>
    <row r="27" ht="14.25" customHeight="1" spans="1:8">
      <c r="A27" s="10" t="s">
        <v>21</v>
      </c>
      <c r="B27" s="18" t="s">
        <v>22</v>
      </c>
      <c r="C27" s="63"/>
      <c r="D27" s="13"/>
      <c r="E27" s="13"/>
      <c r="F27" s="13"/>
    </row>
    <row r="28" ht="13.5" customHeight="1" spans="1:8">
      <c r="A28" s="21" t="s">
        <v>61</v>
      </c>
      <c r="B28" s="332" t="s">
        <v>62</v>
      </c>
      <c r="C28" s="63"/>
      <c r="D28" s="13"/>
      <c r="E28" s="13"/>
      <c r="F28" s="13"/>
    </row>
    <row r="29" spans="1:8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8">
      <c r="A30" s="29"/>
      <c r="B30" s="36"/>
      <c r="C30" s="36" t="s">
        <v>29</v>
      </c>
      <c r="D30" s="36"/>
      <c r="E30" s="36" t="s">
        <v>30</v>
      </c>
      <c r="F30" s="64" t="s">
        <v>31</v>
      </c>
    </row>
    <row r="31" ht="12.4" customHeight="1" spans="1:8">
      <c r="A31" s="16"/>
      <c r="B31" s="123"/>
      <c r="C31" s="123"/>
      <c r="D31" s="16"/>
      <c r="E31" s="16"/>
      <c r="F31" s="16"/>
      <c r="G31" s="16"/>
    </row>
    <row r="32" ht="11.25" customHeight="1" spans="1:8">
      <c r="A32" s="16" t="s">
        <v>32</v>
      </c>
      <c r="B32" s="39"/>
      <c r="C32" s="39"/>
      <c r="D32" s="123"/>
      <c r="E32" s="123"/>
      <c r="F32" s="123"/>
      <c r="G32" s="310"/>
    </row>
    <row r="33" ht="15.4" customHeight="1" spans="1:10">
      <c r="A33" s="39"/>
      <c r="B33" s="123" t="s">
        <v>63</v>
      </c>
      <c r="C33" s="39">
        <v>43.28</v>
      </c>
      <c r="D33" s="348">
        <v>1700</v>
      </c>
      <c r="E33" s="348"/>
      <c r="F33" s="349">
        <f>C33*D33</f>
        <v>73576</v>
      </c>
      <c r="G33" s="310"/>
    </row>
    <row r="34" ht="15.4" customHeight="1" spans="1:10">
      <c r="A34" s="39"/>
      <c r="B34" s="343" t="s">
        <v>64</v>
      </c>
      <c r="C34" s="343"/>
      <c r="D34" s="348"/>
      <c r="E34" s="348"/>
      <c r="F34" s="349"/>
      <c r="G34" s="310"/>
    </row>
    <row r="35" ht="11.25" customHeight="1" spans="1:10">
      <c r="A35" s="35"/>
      <c r="B35" s="213"/>
      <c r="C35" s="41"/>
      <c r="D35" s="35"/>
      <c r="E35" s="41"/>
      <c r="F35" s="41"/>
      <c r="H35" s="67"/>
    </row>
    <row r="36" ht="11.25" customHeight="1" spans="1:10">
      <c r="A36" s="37"/>
      <c r="B36" s="37"/>
      <c r="C36" s="37"/>
      <c r="D36" s="38"/>
      <c r="E36" s="38"/>
      <c r="F36" s="38"/>
    </row>
    <row r="37" ht="15" customHeight="1" spans="1:10">
      <c r="A37" s="35"/>
      <c r="B37" s="36" t="s">
        <v>36</v>
      </c>
      <c r="C37" s="36">
        <f>C33</f>
        <v>43.28</v>
      </c>
      <c r="D37" s="36" t="s">
        <v>29</v>
      </c>
      <c r="E37" s="36"/>
      <c r="F37" s="322">
        <f>SUM(F33:F36)</f>
        <v>73576</v>
      </c>
      <c r="J37" s="214"/>
    </row>
    <row r="38" s="259" customFormat="1"/>
    <row r="39" s="259" customFormat="1"/>
    <row r="40" s="259" customFormat="1"/>
    <row r="43" spans="1:10">
      <c r="E43" s="55" t="s">
        <v>47</v>
      </c>
    </row>
  </sheetData>
  <mergeCells count="27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G31"/>
    <mergeCell ref="D32:F32"/>
    <mergeCell ref="D33:E33"/>
    <mergeCell ref="D34:E34"/>
    <mergeCell ref="A36:B36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topLeftCell="A16" workbookViewId="0">
      <selection activeCell="C40" sqref="C40"/>
    </sheetView>
  </sheetViews>
  <sheetFormatPr defaultColWidth="9" defaultRowHeight="11.6"/>
  <cols>
    <col min="1" max="1" width="19.375" style="1" customWidth="1"/>
    <col min="2" max="2" width="17.9416666666667" style="1" customWidth="1"/>
    <col min="3" max="3" width="9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5.06666666666667" style="1" customWidth="1"/>
    <col min="8" max="8" width="13.44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49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66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67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138"/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68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69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 t="s">
        <v>70</v>
      </c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9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9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4.65" customHeight="1" spans="1:10">
      <c r="A22" s="19" t="s">
        <v>60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21" t="s">
        <v>61</v>
      </c>
      <c r="B24" s="332" t="s">
        <v>62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/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A28" s="207" t="s">
        <v>63</v>
      </c>
      <c r="B28" s="207"/>
      <c r="C28" s="333"/>
      <c r="D28" s="326"/>
      <c r="E28" s="326"/>
      <c r="F28" s="326"/>
      <c r="G28" s="326"/>
      <c r="H28" s="325"/>
      <c r="I28" s="33"/>
      <c r="J28" s="31"/>
    </row>
    <row r="29" ht="12" customHeight="1" spans="1:10">
      <c r="A29" s="35" t="s">
        <v>32</v>
      </c>
      <c r="B29" s="213" t="s">
        <v>74</v>
      </c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/>
      <c r="C30" s="36"/>
      <c r="D30" s="35"/>
      <c r="E30" s="35"/>
      <c r="F30" s="35"/>
      <c r="G30" s="35"/>
      <c r="H30" s="35"/>
      <c r="I30" s="35"/>
      <c r="J30" s="35"/>
    </row>
    <row r="31" s="67" customFormat="1" ht="12.4" customHeight="1" spans="1:10">
      <c r="A31" s="34"/>
      <c r="B31" s="334" t="s">
        <v>75</v>
      </c>
      <c r="C31" s="293"/>
      <c r="D31" s="329" t="s">
        <v>76</v>
      </c>
      <c r="E31" s="329"/>
      <c r="F31" s="329" t="s">
        <v>77</v>
      </c>
      <c r="G31" s="329"/>
      <c r="H31" s="35"/>
      <c r="I31" s="35"/>
      <c r="J31" s="35"/>
    </row>
    <row r="32" s="67" customFormat="1" ht="12" customHeight="1" spans="1:10">
      <c r="A32" s="35"/>
      <c r="B32" s="335" t="s">
        <v>78</v>
      </c>
      <c r="C32" s="336"/>
      <c r="D32" s="337">
        <v>21080</v>
      </c>
      <c r="E32" s="337"/>
      <c r="F32" s="337">
        <f>D32</f>
        <v>21080</v>
      </c>
      <c r="G32" s="337"/>
      <c r="H32" s="207"/>
      <c r="I32" s="34"/>
      <c r="J32" s="35"/>
    </row>
    <row r="33" s="67" customFormat="1" ht="12" customHeight="1" spans="1:10">
      <c r="A33" s="35"/>
      <c r="B33" s="338" t="s">
        <v>79</v>
      </c>
      <c r="C33" s="339"/>
      <c r="D33" s="337">
        <v>22200</v>
      </c>
      <c r="E33" s="337"/>
      <c r="F33" s="337">
        <f>D33</f>
        <v>22200</v>
      </c>
      <c r="G33" s="337"/>
      <c r="H33" s="207"/>
      <c r="I33" s="34"/>
      <c r="J33" s="35"/>
    </row>
    <row r="34" ht="12.35" spans="1:10">
      <c r="A34" s="37"/>
      <c r="B34" s="37"/>
      <c r="C34" s="37"/>
      <c r="D34" s="38"/>
      <c r="E34" s="38"/>
      <c r="F34" s="38"/>
      <c r="G34" s="39"/>
      <c r="H34" s="34"/>
      <c r="I34" s="34"/>
      <c r="J34" s="39"/>
    </row>
    <row r="35" s="128" customFormat="1" ht="12.35" spans="1:10">
      <c r="A35" s="34"/>
      <c r="B35" s="34" t="s">
        <v>36</v>
      </c>
      <c r="C35" s="34" t="s">
        <v>80</v>
      </c>
      <c r="D35" s="132">
        <f>SUM(D32:D33)</f>
        <v>43280</v>
      </c>
      <c r="E35" s="132" t="s">
        <v>81</v>
      </c>
      <c r="F35" s="132">
        <f>SUM(F32:G33)</f>
        <v>43280</v>
      </c>
      <c r="G35" s="209" t="s">
        <v>81</v>
      </c>
      <c r="H35" s="210" t="s">
        <v>82</v>
      </c>
      <c r="I35" s="133"/>
      <c r="J35" s="34"/>
    </row>
    <row r="36" ht="21.75" customHeight="1" spans="1:10">
      <c r="D36" s="211"/>
      <c r="E36" s="211"/>
      <c r="F36" s="211"/>
      <c r="G36" s="211"/>
    </row>
    <row r="37" spans="1:10">
      <c r="C37" s="42"/>
      <c r="D37" s="212"/>
      <c r="E37" s="212"/>
      <c r="F37" s="212"/>
      <c r="G37" s="212"/>
      <c r="I37" s="212"/>
      <c r="J37" s="212"/>
    </row>
    <row r="39" spans="1:10">
      <c r="D39" s="43" t="s">
        <v>83</v>
      </c>
      <c r="E39" s="43"/>
      <c r="F39" s="43"/>
      <c r="G39" s="43"/>
      <c r="H39" s="211"/>
      <c r="I39" s="211"/>
    </row>
    <row r="42" ht="13.1" spans="1:10">
      <c r="B42" s="54"/>
    </row>
    <row r="43" spans="1:10">
      <c r="F43" s="340"/>
    </row>
  </sheetData>
  <mergeCells count="35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A28:B28"/>
    <mergeCell ref="D28:E28"/>
    <mergeCell ref="D29:E29"/>
    <mergeCell ref="B31:C31"/>
    <mergeCell ref="D31:E31"/>
    <mergeCell ref="F31:G31"/>
    <mergeCell ref="D32:E32"/>
    <mergeCell ref="F32:G32"/>
    <mergeCell ref="B33:C33"/>
    <mergeCell ref="D33:E33"/>
    <mergeCell ref="F33:G33"/>
    <mergeCell ref="A34:B34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5"/>
  <sheetViews>
    <sheetView topLeftCell="A15" workbookViewId="0">
      <selection activeCell="B29" sqref="B29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ht="46.5" customHeight="1"/>
    <row r="3" spans="1:7">
      <c r="G3" s="56"/>
    </row>
    <row r="4" customHeight="1" spans="1:7">
      <c r="A4" s="2" t="s">
        <v>0</v>
      </c>
      <c r="B4" s="2"/>
      <c r="C4" s="2"/>
      <c r="D4" s="2"/>
      <c r="E4" s="2"/>
      <c r="F4" s="2"/>
    </row>
    <row r="5" customHeight="1" spans="1:7">
      <c r="A5" s="2"/>
      <c r="B5" s="2"/>
      <c r="C5" s="2"/>
      <c r="D5" s="2"/>
      <c r="E5" s="2"/>
      <c r="F5" s="2"/>
    </row>
    <row r="6" customHeight="1" spans="1:7">
      <c r="A6" s="2"/>
      <c r="B6" s="2"/>
      <c r="C6" s="2"/>
      <c r="D6" s="2"/>
      <c r="E6" s="2"/>
      <c r="F6" s="2"/>
    </row>
    <row r="7" customHeight="1" spans="1:7">
      <c r="A7" s="2"/>
      <c r="B7" s="2"/>
      <c r="C7" s="2"/>
      <c r="D7" s="2"/>
      <c r="E7" s="2"/>
      <c r="F7" s="2"/>
    </row>
    <row r="8" customHeight="1" spans="1:7">
      <c r="A8" s="2"/>
      <c r="B8" s="2"/>
      <c r="C8" s="2"/>
      <c r="D8" s="2"/>
      <c r="E8" s="2"/>
      <c r="F8" s="2"/>
    </row>
    <row r="9" ht="2.25" customHeight="1" spans="1:7">
      <c r="A9" s="2"/>
      <c r="B9" s="2"/>
      <c r="C9" s="2"/>
      <c r="D9" s="2"/>
      <c r="E9" s="2"/>
      <c r="F9" s="2"/>
    </row>
    <row r="10" ht="13.5" hidden="1" customHeight="1" spans="1:7">
      <c r="A10" s="2"/>
      <c r="B10" s="2"/>
      <c r="C10" s="2"/>
      <c r="D10" s="2"/>
      <c r="E10" s="2"/>
      <c r="F10" s="2"/>
    </row>
    <row r="11" ht="17.25" hidden="1" customHeight="1" spans="1:7">
      <c r="A11" s="2"/>
      <c r="B11" s="2"/>
      <c r="C11" s="2"/>
      <c r="D11" s="2"/>
      <c r="E11" s="2"/>
      <c r="F11" s="2"/>
    </row>
    <row r="12" ht="13.5" customHeight="1" spans="1:7">
      <c r="A12" s="134"/>
    </row>
    <row r="13" ht="15" customHeight="1" spans="1:7">
      <c r="A13" s="5" t="s">
        <v>1</v>
      </c>
      <c r="B13" s="10"/>
      <c r="C13" s="6" t="s">
        <v>2</v>
      </c>
      <c r="D13" s="5"/>
      <c r="E13" s="5"/>
      <c r="F13" s="5"/>
    </row>
    <row r="14" ht="14.25" customHeight="1" spans="1:7">
      <c r="A14" s="13" t="s">
        <v>3</v>
      </c>
      <c r="B14" s="14"/>
      <c r="C14" s="58"/>
      <c r="D14" s="59"/>
      <c r="E14" s="59"/>
      <c r="F14" s="59"/>
    </row>
    <row r="15" ht="14.25" customHeight="1" spans="1:7">
      <c r="A15" s="13" t="s">
        <v>50</v>
      </c>
      <c r="B15" s="14"/>
      <c r="C15" s="120" t="s">
        <v>5</v>
      </c>
      <c r="D15" s="121"/>
      <c r="E15" s="121"/>
      <c r="F15" s="121"/>
    </row>
    <row r="16" ht="15" customHeight="1" spans="1:7">
      <c r="A16" s="7" t="s">
        <v>52</v>
      </c>
      <c r="B16" s="8"/>
      <c r="C16" s="9"/>
      <c r="D16" s="7"/>
      <c r="E16" s="7"/>
      <c r="F16" s="7"/>
    </row>
    <row r="17" ht="15" customHeight="1" spans="1:6">
      <c r="A17" s="45"/>
      <c r="B17" s="287"/>
      <c r="C17" s="6" t="s">
        <v>84</v>
      </c>
      <c r="D17" s="5"/>
      <c r="E17" s="60"/>
      <c r="F17" s="60"/>
    </row>
    <row r="18" ht="14.25" customHeight="1" spans="1:6">
      <c r="A18" s="5" t="s">
        <v>7</v>
      </c>
      <c r="B18" s="10"/>
      <c r="C18" s="58" t="s">
        <v>85</v>
      </c>
      <c r="D18" s="59"/>
      <c r="E18" s="59"/>
      <c r="F18" s="59"/>
    </row>
    <row r="19" ht="14.25" customHeight="1" spans="1:6">
      <c r="A19" s="13" t="s">
        <v>86</v>
      </c>
      <c r="B19" s="14"/>
      <c r="C19" s="61" t="s">
        <v>87</v>
      </c>
      <c r="D19" s="62"/>
      <c r="E19" s="62"/>
      <c r="F19" s="62"/>
    </row>
    <row r="20" ht="14.25" customHeight="1" spans="1:6">
      <c r="A20" s="13" t="s">
        <v>88</v>
      </c>
      <c r="B20" s="14"/>
      <c r="C20" s="63"/>
      <c r="D20" s="13"/>
      <c r="E20" s="13"/>
      <c r="F20" s="13"/>
    </row>
    <row r="21" ht="14.25" customHeight="1" spans="1:6">
      <c r="A21" s="7" t="s">
        <v>89</v>
      </c>
      <c r="B21" s="8"/>
      <c r="C21" s="63"/>
      <c r="D21" s="13"/>
      <c r="E21" s="13"/>
      <c r="F21" s="13"/>
    </row>
    <row r="22" ht="14.25" customHeight="1" spans="1:6">
      <c r="A22" s="12"/>
      <c r="B22" s="17"/>
      <c r="C22" s="63"/>
      <c r="D22" s="13"/>
      <c r="E22" s="13"/>
      <c r="F22" s="13"/>
    </row>
    <row r="23" ht="19.5" customHeight="1" spans="1:6">
      <c r="A23" s="5" t="s">
        <v>15</v>
      </c>
      <c r="B23" s="10"/>
      <c r="C23" s="63"/>
      <c r="D23" s="13"/>
      <c r="E23" s="13"/>
      <c r="F23" s="13"/>
    </row>
    <row r="24" ht="14.25" customHeight="1" spans="1:6">
      <c r="A24" s="13" t="s">
        <v>16</v>
      </c>
      <c r="B24" s="14"/>
      <c r="C24" s="63"/>
      <c r="D24" s="13"/>
      <c r="E24" s="13"/>
      <c r="F24" s="13"/>
    </row>
    <row r="25" ht="14.25" customHeight="1" spans="1:6">
      <c r="A25" s="13"/>
      <c r="B25" s="14"/>
      <c r="C25" s="63"/>
      <c r="D25" s="13"/>
      <c r="E25" s="13"/>
      <c r="F25" s="13"/>
    </row>
    <row r="26" ht="14.25" customHeight="1" spans="1:6">
      <c r="A26" s="7"/>
      <c r="B26" s="8"/>
      <c r="C26" s="63"/>
      <c r="D26" s="13"/>
      <c r="E26" s="13"/>
      <c r="F26" s="13"/>
    </row>
    <row r="27" ht="14.25" customHeight="1" spans="1:6">
      <c r="A27" s="10" t="s">
        <v>17</v>
      </c>
      <c r="B27" s="18" t="s">
        <v>18</v>
      </c>
      <c r="C27" s="63"/>
      <c r="D27" s="13"/>
      <c r="E27" s="13"/>
      <c r="F27" s="13"/>
    </row>
    <row r="28" spans="1:6">
      <c r="A28" s="19" t="s">
        <v>90</v>
      </c>
      <c r="B28" s="20" t="s">
        <v>20</v>
      </c>
      <c r="C28" s="63"/>
      <c r="D28" s="13"/>
      <c r="E28" s="13"/>
      <c r="F28" s="13"/>
    </row>
    <row r="29" ht="14.25" customHeight="1" spans="1:6">
      <c r="A29" s="10" t="s">
        <v>21</v>
      </c>
      <c r="B29" s="18" t="s">
        <v>22</v>
      </c>
      <c r="C29" s="63"/>
      <c r="D29" s="13"/>
      <c r="E29" s="13"/>
      <c r="F29" s="13"/>
    </row>
    <row r="30" ht="13.5" customHeight="1" spans="1:6">
      <c r="A30" s="21"/>
      <c r="B30" s="22" t="s">
        <v>91</v>
      </c>
      <c r="C30" s="63"/>
      <c r="D30" s="13"/>
      <c r="E30" s="13"/>
      <c r="F30" s="13"/>
    </row>
    <row r="31" spans="1:6">
      <c r="A31" s="23" t="s">
        <v>24</v>
      </c>
      <c r="B31" s="24" t="s">
        <v>25</v>
      </c>
      <c r="C31" s="27" t="s">
        <v>26</v>
      </c>
      <c r="D31" s="201"/>
      <c r="E31" s="25" t="s">
        <v>27</v>
      </c>
      <c r="F31" s="28" t="s">
        <v>28</v>
      </c>
    </row>
    <row r="32" ht="12" customHeight="1" spans="1:6">
      <c r="A32" s="29"/>
      <c r="B32" s="36"/>
      <c r="C32" s="36" t="s">
        <v>29</v>
      </c>
      <c r="D32" s="36"/>
      <c r="E32" s="36" t="s">
        <v>30</v>
      </c>
      <c r="F32" s="64" t="s">
        <v>31</v>
      </c>
    </row>
    <row r="33" ht="6" customHeight="1" spans="1:10">
      <c r="A33" s="29"/>
      <c r="B33" s="29"/>
      <c r="C33" s="29"/>
      <c r="D33" s="29"/>
      <c r="E33" s="29"/>
      <c r="F33" s="29"/>
    </row>
    <row r="34" ht="11.25" customHeight="1" spans="1:10">
      <c r="A34" s="29" t="s">
        <v>32</v>
      </c>
      <c r="B34" s="29"/>
      <c r="C34" s="29"/>
      <c r="D34" s="30" t="s">
        <v>33</v>
      </c>
      <c r="E34" s="30"/>
      <c r="F34" s="30"/>
    </row>
    <row r="35" ht="31.9" customHeight="1" spans="1:10">
      <c r="A35" s="35"/>
      <c r="B35" s="30" t="s">
        <v>92</v>
      </c>
      <c r="C35" s="36">
        <v>10</v>
      </c>
      <c r="D35" s="304">
        <v>2600</v>
      </c>
      <c r="E35" s="304"/>
      <c r="F35" s="322">
        <f>C35*D35</f>
        <v>26000</v>
      </c>
    </row>
    <row r="36" ht="22.9" customHeight="1" spans="1:10">
      <c r="A36" s="35"/>
      <c r="B36" s="213"/>
      <c r="C36" s="41"/>
      <c r="D36" s="41"/>
      <c r="E36" s="41"/>
      <c r="F36" s="41"/>
    </row>
    <row r="37" ht="11.25" customHeight="1" spans="1:10">
      <c r="A37" s="35"/>
      <c r="B37" s="213"/>
      <c r="C37" s="41"/>
      <c r="D37" s="41"/>
      <c r="E37" s="41"/>
      <c r="F37" s="41"/>
    </row>
    <row r="38" ht="11.25" customHeight="1" spans="1:10">
      <c r="A38" s="35"/>
      <c r="B38" s="213"/>
      <c r="C38" s="41"/>
      <c r="D38" s="41"/>
      <c r="E38" s="41"/>
      <c r="F38" s="41"/>
    </row>
    <row r="39" ht="15" customHeight="1" spans="1:10">
      <c r="A39" s="34"/>
      <c r="B39" s="136"/>
      <c r="C39" s="31"/>
      <c r="D39" s="31"/>
      <c r="E39" s="65"/>
      <c r="F39" s="66"/>
      <c r="J39" s="214"/>
    </row>
    <row r="40" s="259" customFormat="1"/>
    <row r="41" s="259" customFormat="1"/>
    <row r="42" s="259" customFormat="1"/>
    <row r="45" spans="1:10">
      <c r="E45" s="55" t="s">
        <v>47</v>
      </c>
    </row>
  </sheetData>
  <mergeCells count="25"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C18:F18"/>
    <mergeCell ref="A19:B19"/>
    <mergeCell ref="A20:B20"/>
    <mergeCell ref="A21:B21"/>
    <mergeCell ref="A22:B22"/>
    <mergeCell ref="A23:B23"/>
    <mergeCell ref="A24:B24"/>
    <mergeCell ref="A25:B25"/>
    <mergeCell ref="A26:B26"/>
    <mergeCell ref="C31:D31"/>
    <mergeCell ref="A33:F33"/>
    <mergeCell ref="D34:F34"/>
    <mergeCell ref="D35:E35"/>
    <mergeCell ref="A4:F11"/>
    <mergeCell ref="C19:F30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workbookViewId="0">
      <selection activeCell="C15" sqref="C15:F15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93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10</v>
      </c>
      <c r="D16" s="59"/>
      <c r="E16" s="59"/>
      <c r="F16" s="59"/>
    </row>
    <row r="17" ht="14.25" customHeight="1" spans="1:6">
      <c r="A17" s="13" t="s">
        <v>9</v>
      </c>
      <c r="B17" s="14"/>
      <c r="C17" s="61" t="s">
        <v>57</v>
      </c>
      <c r="D17" s="62"/>
      <c r="E17" s="62"/>
      <c r="F17" s="62"/>
    </row>
    <row r="18" ht="14.25" customHeight="1" spans="1:6">
      <c r="A18" s="13" t="s">
        <v>94</v>
      </c>
      <c r="B18" s="14"/>
      <c r="C18" s="63"/>
      <c r="D18" s="13"/>
      <c r="E18" s="13"/>
      <c r="F18" s="13"/>
    </row>
    <row r="19" ht="14.25" customHeight="1" spans="1:6">
      <c r="A19" s="7" t="s">
        <v>95</v>
      </c>
      <c r="B19" s="8"/>
      <c r="C19" s="63"/>
      <c r="D19" s="13"/>
      <c r="E19" s="13"/>
      <c r="F19" s="13"/>
    </row>
    <row r="20" ht="14.25" customHeight="1" spans="1:6">
      <c r="A20" s="12"/>
      <c r="B20" s="17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16</v>
      </c>
      <c r="B22" s="14"/>
      <c r="C22" s="63"/>
      <c r="D22" s="13"/>
      <c r="E22" s="13"/>
      <c r="F22" s="13"/>
    </row>
    <row r="23" ht="14.25" customHeight="1" spans="1:6">
      <c r="A23" s="13"/>
      <c r="B23" s="14"/>
      <c r="C23" s="63"/>
      <c r="D23" s="13"/>
      <c r="E23" s="13"/>
      <c r="F23" s="13"/>
    </row>
    <row r="24" ht="14.25" customHeight="1" spans="1:6">
      <c r="A24" s="7"/>
      <c r="B24" s="8"/>
      <c r="C24" s="63"/>
      <c r="D24" s="13"/>
      <c r="E24" s="13"/>
      <c r="F24" s="13"/>
    </row>
    <row r="25" ht="14.25" customHeight="1" spans="1:6">
      <c r="A25" s="10" t="s">
        <v>17</v>
      </c>
      <c r="B25" s="18" t="s">
        <v>18</v>
      </c>
      <c r="C25" s="63"/>
      <c r="D25" s="13"/>
      <c r="E25" s="13"/>
      <c r="F25" s="13"/>
    </row>
    <row r="26" spans="1:6">
      <c r="A26" s="19" t="s">
        <v>96</v>
      </c>
      <c r="B26" s="20" t="s">
        <v>20</v>
      </c>
      <c r="C26" s="63"/>
      <c r="D26" s="13"/>
      <c r="E26" s="13"/>
      <c r="F26" s="13"/>
    </row>
    <row r="27" ht="14.25" customHeight="1" spans="1:6">
      <c r="A27" s="10" t="s">
        <v>21</v>
      </c>
      <c r="B27" s="18" t="s">
        <v>22</v>
      </c>
      <c r="C27" s="63"/>
      <c r="D27" s="13"/>
      <c r="E27" s="13"/>
      <c r="F27" s="13"/>
    </row>
    <row r="28" ht="24.4" customHeight="1" spans="1:6">
      <c r="A28" s="21" t="s">
        <v>97</v>
      </c>
      <c r="B28" s="22" t="s">
        <v>98</v>
      </c>
      <c r="C28" s="63"/>
      <c r="D28" s="13"/>
      <c r="E28" s="13"/>
      <c r="F28" s="13"/>
    </row>
    <row r="29" spans="1:6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6">
      <c r="A30" s="29"/>
      <c r="B30" s="36"/>
      <c r="C30" s="36" t="s">
        <v>29</v>
      </c>
      <c r="D30" s="36"/>
      <c r="E30" s="36" t="s">
        <v>30</v>
      </c>
      <c r="F30" s="64" t="s">
        <v>31</v>
      </c>
    </row>
    <row r="31" ht="6" customHeight="1" spans="1:6">
      <c r="A31" s="29"/>
      <c r="B31" s="29"/>
      <c r="C31" s="29"/>
      <c r="D31" s="29"/>
      <c r="E31" s="29"/>
      <c r="F31" s="29"/>
    </row>
    <row r="32" ht="11.25" customHeight="1" spans="1:6">
      <c r="A32" s="29" t="s">
        <v>32</v>
      </c>
      <c r="B32" s="29"/>
      <c r="C32" s="29"/>
      <c r="D32" s="30" t="s">
        <v>33</v>
      </c>
      <c r="E32" s="30"/>
      <c r="F32" s="30"/>
    </row>
    <row r="33" ht="21" customHeight="1" spans="1:10">
      <c r="A33" s="34" t="s">
        <v>99</v>
      </c>
      <c r="B33" s="34"/>
      <c r="C33" s="31">
        <v>5</v>
      </c>
      <c r="D33" s="300">
        <v>450</v>
      </c>
      <c r="E33" s="300"/>
      <c r="F33" s="65">
        <f>C33*D33</f>
        <v>2250</v>
      </c>
    </row>
    <row r="34" ht="22.9" customHeight="1" spans="1:10">
      <c r="A34" s="35"/>
      <c r="B34" s="213"/>
      <c r="C34" s="41"/>
      <c r="D34" s="41"/>
      <c r="E34" s="41"/>
      <c r="F34" s="41"/>
    </row>
    <row r="35" ht="11.25" customHeight="1" spans="1:10">
      <c r="A35" s="35"/>
      <c r="B35" s="213"/>
      <c r="C35" s="41"/>
      <c r="D35" s="41"/>
      <c r="E35" s="41"/>
      <c r="F35" s="41"/>
    </row>
    <row r="36" ht="11.25" customHeight="1" spans="1:10">
      <c r="A36" s="35"/>
      <c r="B36" s="213"/>
      <c r="C36" s="41"/>
      <c r="D36" s="41"/>
      <c r="E36" s="41"/>
      <c r="F36" s="41"/>
    </row>
    <row r="37" ht="15" customHeight="1" spans="1:10">
      <c r="A37" s="37"/>
      <c r="B37" s="37"/>
      <c r="C37" s="37"/>
      <c r="D37" s="38"/>
      <c r="E37" s="38"/>
      <c r="F37" s="38"/>
      <c r="J37" s="214"/>
    </row>
    <row r="38" s="259" customFormat="1" ht="16.5" spans="1:10">
      <c r="A38" s="35"/>
      <c r="B38" s="36" t="s">
        <v>36</v>
      </c>
      <c r="C38" s="36" t="s">
        <v>37</v>
      </c>
      <c r="D38" s="36"/>
      <c r="E38" s="36" t="s">
        <v>100</v>
      </c>
      <c r="F38" s="68" t="s">
        <v>101</v>
      </c>
    </row>
    <row r="39" s="259" customFormat="1" spans="1:10">
      <c r="A39" s="35"/>
      <c r="B39" s="36"/>
      <c r="C39" s="36"/>
      <c r="D39" s="36"/>
      <c r="E39" s="36"/>
      <c r="F39" s="251"/>
    </row>
    <row r="40" s="259" customFormat="1" spans="1:10">
      <c r="A40" s="67"/>
      <c r="B40" s="56"/>
      <c r="C40" s="56"/>
      <c r="D40" s="56"/>
      <c r="E40" s="254"/>
      <c r="F40" s="237"/>
    </row>
    <row r="43" spans="1:10">
      <c r="E43" s="55" t="s">
        <v>47</v>
      </c>
    </row>
  </sheetData>
  <mergeCells count="27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F31"/>
    <mergeCell ref="D32:F32"/>
    <mergeCell ref="A33:B33"/>
    <mergeCell ref="D33:E33"/>
    <mergeCell ref="A37:B37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0"/>
  <sheetViews>
    <sheetView topLeftCell="A13" workbookViewId="0">
      <selection activeCell="C15" sqref="C12:H24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9.25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4.066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93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9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94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 t="s">
        <v>95</v>
      </c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9" t="s">
        <v>96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8" customHeight="1" spans="1:10">
      <c r="A24" s="21" t="s">
        <v>97</v>
      </c>
      <c r="B24" s="22" t="s">
        <v>98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A28"/>
      <c r="B28" s="34" t="s">
        <v>99</v>
      </c>
      <c r="C28" s="34"/>
      <c r="D28" s="32"/>
      <c r="E28" s="32"/>
      <c r="F28" s="32"/>
      <c r="G28" s="32"/>
      <c r="H28" s="33"/>
      <c r="I28" s="33"/>
      <c r="J28" s="31"/>
    </row>
    <row r="29" ht="12" customHeight="1" spans="1:10">
      <c r="A29" s="35" t="s">
        <v>32</v>
      </c>
      <c r="B29" s="232" t="s">
        <v>104</v>
      </c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 t="s">
        <v>105</v>
      </c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34"/>
      <c r="B31" s="35"/>
      <c r="C31" s="35"/>
      <c r="D31" s="35"/>
      <c r="E31" s="35"/>
      <c r="F31" s="35"/>
      <c r="G31" s="35"/>
      <c r="H31" s="35"/>
      <c r="I31" s="35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98"/>
      <c r="C33" s="205"/>
      <c r="D33" s="206"/>
      <c r="E33" s="206"/>
      <c r="F33" s="206"/>
      <c r="G33" s="206"/>
      <c r="H33" s="207"/>
      <c r="I33" s="34"/>
      <c r="J33" s="35"/>
    </row>
    <row r="34" s="67" customFormat="1" ht="12" customHeight="1" spans="1:10">
      <c r="A34" s="35"/>
      <c r="B34" s="204"/>
      <c r="C34" s="205"/>
      <c r="D34" s="206"/>
      <c r="E34" s="206"/>
      <c r="F34" s="206"/>
      <c r="G34" s="206"/>
      <c r="H34" s="207"/>
      <c r="I34" s="34"/>
      <c r="J34" s="35"/>
    </row>
    <row r="35" ht="12.35" spans="1:10">
      <c r="A35" s="37"/>
      <c r="B35" s="37"/>
      <c r="C35" s="37"/>
      <c r="D35" s="38"/>
      <c r="E35" s="38"/>
      <c r="F35" s="38"/>
      <c r="G35" s="39"/>
      <c r="H35" s="34"/>
      <c r="I35" s="34"/>
      <c r="J35" s="39"/>
    </row>
    <row r="36" s="128" customFormat="1" ht="12.35" spans="1:10">
      <c r="A36" s="34"/>
      <c r="B36" s="34" t="s">
        <v>36</v>
      </c>
      <c r="C36" s="34" t="s">
        <v>106</v>
      </c>
      <c r="D36" s="132">
        <v>5000</v>
      </c>
      <c r="E36" s="132" t="s">
        <v>81</v>
      </c>
      <c r="F36" s="314">
        <v>5180</v>
      </c>
      <c r="G36" s="209" t="s">
        <v>81</v>
      </c>
      <c r="H36" s="210" t="s">
        <v>107</v>
      </c>
      <c r="I36" s="133"/>
      <c r="J36" s="34"/>
    </row>
    <row r="37" ht="21.75" customHeight="1" spans="1:10">
      <c r="D37" s="211"/>
      <c r="E37" s="211"/>
      <c r="F37" s="211"/>
      <c r="G37" s="211"/>
    </row>
    <row r="38" spans="1:10">
      <c r="C38" s="42"/>
      <c r="D38" s="212"/>
      <c r="E38" s="212"/>
      <c r="F38" s="212"/>
      <c r="G38" s="212"/>
      <c r="I38" s="212"/>
      <c r="J38" s="212"/>
    </row>
    <row r="40" spans="1:10">
      <c r="D40" s="43" t="s">
        <v>83</v>
      </c>
      <c r="E40" s="43"/>
      <c r="F40" s="43"/>
      <c r="G40" s="43"/>
      <c r="H40" s="211"/>
      <c r="I40" s="211"/>
    </row>
  </sheetData>
  <mergeCells count="33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B28:C28"/>
    <mergeCell ref="D28:E28"/>
    <mergeCell ref="D29:E29"/>
    <mergeCell ref="D32:E32"/>
    <mergeCell ref="F32:G32"/>
    <mergeCell ref="D33:E33"/>
    <mergeCell ref="F33:G33"/>
    <mergeCell ref="D34:E34"/>
    <mergeCell ref="F34:G34"/>
    <mergeCell ref="A35:B35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workbookViewId="0">
      <selection activeCell="A12" sqref="A12:B22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108</v>
      </c>
      <c r="B12" s="14"/>
      <c r="C12" s="58" t="s">
        <v>109</v>
      </c>
      <c r="D12" s="59"/>
      <c r="E12" s="59"/>
      <c r="F12" s="59"/>
    </row>
    <row r="13" ht="14.25" customHeight="1" spans="1:6">
      <c r="A13" s="13"/>
      <c r="B13" s="14"/>
      <c r="C13" s="120" t="s">
        <v>5</v>
      </c>
      <c r="D13" s="121"/>
      <c r="E13" s="121"/>
      <c r="F13" s="121"/>
    </row>
    <row r="14" ht="15" customHeight="1" spans="1:6">
      <c r="A14" s="7"/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110</v>
      </c>
      <c r="D16" s="59"/>
      <c r="E16" s="59"/>
      <c r="F16" s="59"/>
    </row>
    <row r="17" ht="14.25" customHeight="1" spans="1:6">
      <c r="A17" s="13" t="s">
        <v>111</v>
      </c>
      <c r="B17" s="14"/>
      <c r="C17" s="61" t="s">
        <v>57</v>
      </c>
      <c r="D17" s="62"/>
      <c r="E17" s="62"/>
      <c r="F17" s="62"/>
    </row>
    <row r="18" ht="14.25" customHeight="1" spans="1:6">
      <c r="A18" s="13"/>
      <c r="B18" s="14"/>
      <c r="C18" s="63"/>
      <c r="D18" s="13"/>
      <c r="E18" s="13"/>
      <c r="F18" s="13"/>
    </row>
    <row r="19" ht="14.25" customHeight="1" spans="1:6">
      <c r="A19" s="7"/>
      <c r="B19" s="8"/>
      <c r="C19" s="63"/>
      <c r="D19" s="13"/>
      <c r="E19" s="13"/>
      <c r="F19" s="13"/>
    </row>
    <row r="20" ht="14.25" customHeight="1" spans="1:6">
      <c r="A20" s="12"/>
      <c r="B20" s="17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16</v>
      </c>
      <c r="B22" s="14"/>
      <c r="C22" s="63"/>
      <c r="D22" s="13"/>
      <c r="E22" s="13"/>
      <c r="F22" s="13"/>
    </row>
    <row r="23" ht="14.25" customHeight="1" spans="1:6">
      <c r="A23" s="13"/>
      <c r="B23" s="14"/>
      <c r="C23" s="63"/>
      <c r="D23" s="13"/>
      <c r="E23" s="13"/>
      <c r="F23" s="13"/>
    </row>
    <row r="24" ht="14.25" customHeight="1" spans="1:6">
      <c r="A24" s="7"/>
      <c r="B24" s="8"/>
      <c r="C24" s="63"/>
      <c r="D24" s="13"/>
      <c r="E24" s="13"/>
      <c r="F24" s="13"/>
    </row>
    <row r="25" ht="14.25" customHeight="1" spans="1:6">
      <c r="A25" s="10" t="s">
        <v>17</v>
      </c>
      <c r="B25" s="18" t="s">
        <v>18</v>
      </c>
      <c r="C25" s="63"/>
      <c r="D25" s="13"/>
      <c r="E25" s="13"/>
      <c r="F25" s="13"/>
    </row>
    <row r="26" spans="1:6">
      <c r="A26" s="19" t="s">
        <v>112</v>
      </c>
      <c r="B26" s="20" t="s">
        <v>20</v>
      </c>
      <c r="C26" s="63"/>
      <c r="D26" s="13"/>
      <c r="E26" s="13"/>
      <c r="F26" s="13"/>
    </row>
    <row r="27" ht="14.25" customHeight="1" spans="1:6">
      <c r="A27" s="10" t="s">
        <v>21</v>
      </c>
      <c r="B27" s="18" t="s">
        <v>22</v>
      </c>
      <c r="C27" s="63"/>
      <c r="D27" s="13"/>
      <c r="E27" s="13"/>
      <c r="F27" s="13"/>
    </row>
    <row r="28" ht="13.5" customHeight="1" spans="1:6">
      <c r="A28" s="21"/>
      <c r="B28" s="22" t="s">
        <v>113</v>
      </c>
      <c r="C28" s="63"/>
      <c r="D28" s="13"/>
      <c r="E28" s="13"/>
      <c r="F28" s="13"/>
    </row>
    <row r="29" spans="1:6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6">
      <c r="A30" s="29"/>
      <c r="B30" s="36"/>
      <c r="C30" s="36" t="s">
        <v>29</v>
      </c>
      <c r="D30" s="36"/>
      <c r="E30" s="36" t="s">
        <v>30</v>
      </c>
      <c r="F30" s="64" t="s">
        <v>31</v>
      </c>
    </row>
    <row r="31" ht="6" customHeight="1" spans="1:6">
      <c r="A31" s="29"/>
      <c r="B31" s="29"/>
      <c r="C31" s="29"/>
      <c r="D31" s="29"/>
      <c r="E31" s="29"/>
      <c r="F31" s="29"/>
    </row>
    <row r="32" ht="11.25" customHeight="1" spans="1:6">
      <c r="A32" s="29" t="s">
        <v>32</v>
      </c>
      <c r="B32" s="29"/>
      <c r="C32" s="29"/>
      <c r="D32" s="30" t="s">
        <v>33</v>
      </c>
      <c r="E32" s="30"/>
      <c r="F32" s="30"/>
    </row>
    <row r="33" ht="31.9" customHeight="1" spans="1:10">
      <c r="A33" s="35"/>
      <c r="B33" s="30" t="s">
        <v>114</v>
      </c>
      <c r="C33" s="36">
        <v>4.32</v>
      </c>
      <c r="D33" s="304">
        <v>5600</v>
      </c>
      <c r="E33" s="304"/>
      <c r="F33" s="322">
        <f>C33*D33</f>
        <v>24192</v>
      </c>
    </row>
    <row r="34" ht="22.9" customHeight="1" spans="1:10">
      <c r="A34" s="35"/>
      <c r="B34" s="213"/>
      <c r="C34" s="41"/>
      <c r="D34" s="41"/>
      <c r="E34" s="41"/>
      <c r="F34" s="41"/>
    </row>
    <row r="35" ht="11.25" customHeight="1" spans="1:10">
      <c r="A35" s="35"/>
      <c r="B35" s="213"/>
      <c r="C35" s="41"/>
      <c r="D35" s="41"/>
      <c r="E35" s="41"/>
      <c r="F35" s="41"/>
    </row>
    <row r="36" ht="11.25" customHeight="1" spans="1:10">
      <c r="A36" s="35"/>
      <c r="B36" s="213"/>
      <c r="C36" s="41"/>
      <c r="D36" s="41"/>
      <c r="E36" s="41"/>
      <c r="F36" s="41"/>
    </row>
    <row r="37" ht="15" customHeight="1" spans="1:10">
      <c r="A37" s="34"/>
      <c r="B37" s="136"/>
      <c r="C37" s="31"/>
      <c r="D37" s="31"/>
      <c r="E37" s="65"/>
      <c r="F37" s="66"/>
      <c r="J37" s="214"/>
    </row>
    <row r="38" s="259" customFormat="1"/>
    <row r="39" s="259" customFormat="1"/>
    <row r="40" s="259" customFormat="1"/>
    <row r="43" spans="1:10">
      <c r="E43" s="55" t="s">
        <v>47</v>
      </c>
    </row>
  </sheetData>
  <mergeCells count="25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F31"/>
    <mergeCell ref="D32:F32"/>
    <mergeCell ref="D33:E33"/>
    <mergeCell ref="C17:F28"/>
    <mergeCell ref="A2:F9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4"/>
  <sheetViews>
    <sheetView topLeftCell="A4" workbookViewId="0">
      <selection activeCell="C12" sqref="C12:H24"/>
    </sheetView>
  </sheetViews>
  <sheetFormatPr defaultColWidth="9" defaultRowHeight="11.6"/>
  <cols>
    <col min="1" max="1" width="21.4416666666667" style="1" customWidth="1"/>
    <col min="2" max="2" width="17.9416666666667" style="1" customWidth="1"/>
    <col min="3" max="3" width="11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4.06666666666667" style="1" customWidth="1"/>
    <col min="8" max="8" width="11.75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108</v>
      </c>
      <c r="B8" s="14"/>
      <c r="C8" s="9" t="s">
        <v>109</v>
      </c>
      <c r="D8" s="7"/>
      <c r="E8" s="7"/>
      <c r="F8" s="7"/>
      <c r="G8" s="7"/>
      <c r="H8" s="7"/>
      <c r="I8" s="7"/>
    </row>
    <row r="9" customFormat="1" ht="15" customHeight="1" spans="1:10">
      <c r="A9" s="13"/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/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111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/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/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4.65" customHeight="1" spans="1:10">
      <c r="A22" s="19" t="s">
        <v>115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21" t="s">
        <v>116</v>
      </c>
      <c r="B24" s="22" t="s">
        <v>117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A28"/>
      <c r="B28" s="30" t="s">
        <v>118</v>
      </c>
      <c r="C28" s="333"/>
      <c r="D28" s="326"/>
      <c r="E28" s="326"/>
      <c r="F28" s="326"/>
      <c r="G28" s="326"/>
      <c r="H28" s="325"/>
      <c r="I28" s="33"/>
      <c r="J28" s="31"/>
    </row>
    <row r="29" ht="12" customHeight="1" spans="1:10">
      <c r="A29" s="35" t="s">
        <v>32</v>
      </c>
      <c r="B29" s="213"/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/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34"/>
      <c r="B31" s="35"/>
      <c r="C31" s="35"/>
      <c r="D31" s="35"/>
      <c r="E31" s="35"/>
      <c r="F31" s="35"/>
      <c r="G31" s="35"/>
      <c r="H31" s="35"/>
      <c r="I31" s="35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98"/>
      <c r="C33" s="205"/>
      <c r="D33" s="206"/>
      <c r="E33" s="206"/>
      <c r="F33" s="206"/>
      <c r="G33" s="206"/>
      <c r="H33" s="207"/>
      <c r="I33" s="34"/>
      <c r="J33" s="35"/>
    </row>
    <row r="34" s="67" customFormat="1" ht="12" customHeight="1" spans="1:10">
      <c r="A34" s="35"/>
      <c r="B34" s="204"/>
      <c r="C34" s="205"/>
      <c r="D34" s="206"/>
      <c r="E34" s="206"/>
      <c r="F34" s="206"/>
      <c r="G34" s="206"/>
      <c r="H34" s="207"/>
      <c r="I34" s="34"/>
      <c r="J34" s="35"/>
    </row>
    <row r="35" ht="12.35" spans="1:10">
      <c r="A35" s="37"/>
      <c r="B35" s="37"/>
      <c r="C35" s="37"/>
      <c r="D35" s="38"/>
      <c r="E35" s="38"/>
      <c r="F35" s="38"/>
      <c r="G35" s="39"/>
      <c r="H35" s="34"/>
      <c r="I35" s="34"/>
      <c r="J35" s="39"/>
    </row>
    <row r="36" s="128" customFormat="1" ht="12.35" spans="1:10">
      <c r="A36" s="34"/>
      <c r="B36" s="34" t="s">
        <v>36</v>
      </c>
      <c r="C36" s="34" t="s">
        <v>119</v>
      </c>
      <c r="D36" s="132">
        <v>4320</v>
      </c>
      <c r="E36" s="132" t="s">
        <v>81</v>
      </c>
      <c r="F36" s="314">
        <f>4320+204</f>
        <v>4524</v>
      </c>
      <c r="G36" s="209" t="s">
        <v>81</v>
      </c>
      <c r="H36" s="210" t="s">
        <v>120</v>
      </c>
      <c r="I36" s="133"/>
      <c r="J36" s="34"/>
    </row>
    <row r="37" ht="21.75" customHeight="1" spans="1:10">
      <c r="D37" s="211"/>
      <c r="E37" s="211"/>
      <c r="F37" s="211"/>
      <c r="G37" s="211"/>
    </row>
    <row r="38" spans="1:10">
      <c r="C38" s="42"/>
      <c r="D38" s="212"/>
      <c r="E38" s="212"/>
      <c r="F38" s="212"/>
      <c r="G38" s="212"/>
      <c r="I38" s="212"/>
      <c r="J38" s="212"/>
    </row>
    <row r="40" spans="1:10">
      <c r="D40" s="43" t="s">
        <v>83</v>
      </c>
      <c r="E40" s="43"/>
      <c r="F40" s="43"/>
      <c r="G40" s="43"/>
      <c r="H40" s="211"/>
      <c r="I40" s="211"/>
    </row>
    <row r="44" spans="1:10">
      <c r="F44" s="340"/>
    </row>
  </sheetData>
  <mergeCells count="32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D28:E28"/>
    <mergeCell ref="D29:E29"/>
    <mergeCell ref="D32:E32"/>
    <mergeCell ref="F32:G32"/>
    <mergeCell ref="D33:E33"/>
    <mergeCell ref="F33:G33"/>
    <mergeCell ref="D34:E34"/>
    <mergeCell ref="F34:G34"/>
    <mergeCell ref="A35:B35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4"/>
  <sheetViews>
    <sheetView topLeftCell="A4" workbookViewId="0">
      <selection activeCell="A23" sqref="A12:H24"/>
    </sheetView>
  </sheetViews>
  <sheetFormatPr defaultColWidth="9" defaultRowHeight="11.6"/>
  <cols>
    <col min="1" max="1" width="21.4416666666667" style="1" customWidth="1"/>
    <col min="2" max="2" width="17.9416666666667" style="1" customWidth="1"/>
    <col min="3" max="3" width="11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4.06666666666667" style="1" customWidth="1"/>
    <col min="8" max="8" width="11.75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5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121</v>
      </c>
      <c r="B8" s="14"/>
      <c r="C8" s="9" t="s">
        <v>122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123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/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5" t="s">
        <v>7</v>
      </c>
      <c r="B11" s="10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13" t="s">
        <v>3</v>
      </c>
      <c r="B12" s="14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4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7" t="s">
        <v>6</v>
      </c>
      <c r="B14" s="8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2"/>
      <c r="B15" s="17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5" t="s">
        <v>15</v>
      </c>
      <c r="B16" s="10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4.65" customHeight="1" spans="1:10">
      <c r="A22" s="19" t="s">
        <v>124</v>
      </c>
      <c r="B22" s="20" t="s">
        <v>125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21"/>
      <c r="B24" s="22" t="s">
        <v>126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A28"/>
      <c r="B28" s="30" t="s">
        <v>127</v>
      </c>
      <c r="C28" s="333">
        <v>1</v>
      </c>
      <c r="D28" s="326"/>
      <c r="E28" s="326"/>
      <c r="F28" s="326"/>
      <c r="G28" s="326"/>
      <c r="H28" s="325"/>
      <c r="I28" s="33"/>
      <c r="J28" s="31"/>
    </row>
    <row r="29" ht="12" customHeight="1" spans="1:10">
      <c r="A29" s="35" t="s">
        <v>32</v>
      </c>
      <c r="B29" s="213"/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/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34"/>
      <c r="B31" s="35"/>
      <c r="C31" s="35"/>
      <c r="D31" s="35"/>
      <c r="E31" s="35"/>
      <c r="F31" s="35"/>
      <c r="G31" s="35"/>
      <c r="H31" s="35"/>
      <c r="I31" s="35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98"/>
      <c r="C33" s="205"/>
      <c r="D33" s="206"/>
      <c r="E33" s="206"/>
      <c r="F33" s="206"/>
      <c r="G33" s="206"/>
      <c r="H33" s="207"/>
      <c r="I33" s="34"/>
      <c r="J33" s="35"/>
    </row>
    <row r="34" s="67" customFormat="1" ht="12" customHeight="1" spans="1:10">
      <c r="A34" s="35"/>
      <c r="B34" s="204"/>
      <c r="C34" s="205"/>
      <c r="D34" s="206"/>
      <c r="E34" s="206"/>
      <c r="F34" s="206"/>
      <c r="G34" s="206"/>
      <c r="H34" s="207"/>
      <c r="I34" s="34"/>
      <c r="J34" s="35"/>
    </row>
    <row r="35" ht="12.35" spans="1:10">
      <c r="A35" s="37"/>
      <c r="B35" s="37"/>
      <c r="C35" s="37"/>
      <c r="D35" s="38"/>
      <c r="E35" s="38"/>
      <c r="F35" s="38"/>
      <c r="G35" s="39"/>
      <c r="H35" s="34"/>
      <c r="I35" s="34"/>
      <c r="J35" s="39"/>
    </row>
    <row r="36" s="128" customFormat="1" ht="12.35" spans="1:10">
      <c r="A36" s="34"/>
      <c r="B36" s="34" t="s">
        <v>36</v>
      </c>
      <c r="C36" s="34">
        <v>1</v>
      </c>
      <c r="D36" s="132">
        <v>5</v>
      </c>
      <c r="E36" s="132" t="s">
        <v>81</v>
      </c>
      <c r="F36" s="284">
        <v>7.92</v>
      </c>
      <c r="G36" s="209" t="s">
        <v>81</v>
      </c>
      <c r="H36" s="210"/>
      <c r="I36" s="133"/>
      <c r="J36" s="34"/>
    </row>
    <row r="37" ht="21.75" customHeight="1" spans="1:10">
      <c r="D37" s="211"/>
      <c r="E37" s="211"/>
      <c r="F37" s="211"/>
      <c r="G37" s="211"/>
    </row>
    <row r="38" spans="1:10">
      <c r="C38" s="42"/>
      <c r="D38" s="212"/>
      <c r="E38" s="212"/>
      <c r="F38" s="212"/>
      <c r="G38" s="212"/>
      <c r="I38" s="212"/>
      <c r="J38" s="212"/>
    </row>
    <row r="40" spans="1:10">
      <c r="D40" s="43" t="s">
        <v>83</v>
      </c>
      <c r="E40" s="43"/>
      <c r="F40" s="43"/>
      <c r="G40" s="43"/>
      <c r="H40" s="211"/>
      <c r="I40" s="211"/>
    </row>
    <row r="44" spans="1:10">
      <c r="F44" s="340"/>
    </row>
  </sheetData>
  <mergeCells count="32">
    <mergeCell ref="A7:B7"/>
    <mergeCell ref="C7:H7"/>
    <mergeCell ref="A8:B8"/>
    <mergeCell ref="C8:H8"/>
    <mergeCell ref="A9:B9"/>
    <mergeCell ref="C9:H9"/>
    <mergeCell ref="A10:B10"/>
    <mergeCell ref="C10:H10"/>
    <mergeCell ref="C11:H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D28:E28"/>
    <mergeCell ref="D29:E29"/>
    <mergeCell ref="D32:E32"/>
    <mergeCell ref="F32:G32"/>
    <mergeCell ref="D33:E33"/>
    <mergeCell ref="F33:G33"/>
    <mergeCell ref="D34:E34"/>
    <mergeCell ref="F34:G34"/>
    <mergeCell ref="A35:B35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topLeftCell="A19" workbookViewId="0">
      <selection activeCell="A12" sqref="A12:B22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  <col min="7" max="7" width="5.06666666666667" customWidth="1"/>
    <col min="8" max="8" width="10.9416666666667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3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128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129</v>
      </c>
      <c r="D16" s="59"/>
      <c r="E16" s="59"/>
      <c r="F16" s="59"/>
    </row>
    <row r="17" ht="14.25" customHeight="1" spans="1:7">
      <c r="A17" s="13" t="s">
        <v>68</v>
      </c>
      <c r="B17" s="14"/>
      <c r="C17" s="61" t="s">
        <v>57</v>
      </c>
      <c r="D17" s="62"/>
      <c r="E17" s="62"/>
      <c r="F17" s="62"/>
    </row>
    <row r="18" ht="14.25" customHeight="1" spans="1:7">
      <c r="A18" s="13" t="s">
        <v>69</v>
      </c>
      <c r="B18" s="14"/>
      <c r="C18" s="63"/>
      <c r="D18" s="13"/>
      <c r="E18" s="13"/>
      <c r="F18" s="13"/>
    </row>
    <row r="19" ht="14.25" customHeight="1" spans="1:7">
      <c r="A19" s="7" t="s">
        <v>70</v>
      </c>
      <c r="B19" s="8"/>
      <c r="C19" s="63"/>
      <c r="D19" s="13"/>
      <c r="E19" s="13"/>
      <c r="F19" s="13"/>
    </row>
    <row r="20" ht="14.25" customHeight="1" spans="1:7">
      <c r="A20" s="12"/>
      <c r="B20" s="17"/>
      <c r="C20" s="63"/>
      <c r="D20" s="13"/>
      <c r="E20" s="13"/>
      <c r="F20" s="13"/>
    </row>
    <row r="21" ht="19.5" customHeight="1" spans="1:7">
      <c r="A21" s="5" t="s">
        <v>15</v>
      </c>
      <c r="B21" s="10"/>
      <c r="C21" s="63"/>
      <c r="D21" s="13"/>
      <c r="E21" s="13"/>
      <c r="F21" s="13"/>
    </row>
    <row r="22" ht="14.25" customHeight="1" spans="1:7">
      <c r="A22" s="13" t="s">
        <v>16</v>
      </c>
      <c r="B22" s="14"/>
      <c r="C22" s="63"/>
      <c r="D22" s="13"/>
      <c r="E22" s="13"/>
      <c r="F22" s="13"/>
    </row>
    <row r="23" ht="14.25" customHeight="1" spans="1:7">
      <c r="A23" s="13"/>
      <c r="B23" s="14"/>
      <c r="C23" s="63"/>
      <c r="D23" s="13"/>
      <c r="E23" s="13"/>
      <c r="F23" s="13"/>
    </row>
    <row r="24" ht="14.25" customHeight="1" spans="1:7">
      <c r="A24" s="7"/>
      <c r="B24" s="8"/>
      <c r="C24" s="63"/>
      <c r="D24" s="13"/>
      <c r="E24" s="13"/>
      <c r="F24" s="13"/>
    </row>
    <row r="25" ht="14.25" customHeight="1" spans="1:7">
      <c r="A25" s="10" t="s">
        <v>17</v>
      </c>
      <c r="B25" s="18" t="s">
        <v>18</v>
      </c>
      <c r="C25" s="63"/>
      <c r="D25" s="341"/>
      <c r="E25" s="13"/>
      <c r="F25" s="341"/>
    </row>
    <row r="26" spans="1:7">
      <c r="A26" s="19" t="s">
        <v>115</v>
      </c>
      <c r="B26" s="20" t="s">
        <v>20</v>
      </c>
      <c r="C26" s="63"/>
      <c r="D26" s="13"/>
      <c r="E26" s="13"/>
      <c r="F26" s="13"/>
    </row>
    <row r="27" ht="14.25" customHeight="1" spans="1:7">
      <c r="A27" s="10" t="s">
        <v>21</v>
      </c>
      <c r="B27" s="18" t="s">
        <v>22</v>
      </c>
      <c r="C27" s="63"/>
      <c r="D27" s="13"/>
      <c r="E27" s="13"/>
      <c r="F27" s="13"/>
    </row>
    <row r="28" ht="13.5" customHeight="1" spans="1:7">
      <c r="A28" s="21" t="s">
        <v>130</v>
      </c>
      <c r="B28" s="332" t="s">
        <v>131</v>
      </c>
      <c r="C28" s="63"/>
      <c r="D28" s="13"/>
      <c r="E28" s="13"/>
      <c r="F28" s="13"/>
    </row>
    <row r="29" spans="1:7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7">
      <c r="A30" s="29"/>
      <c r="B30" s="36"/>
      <c r="C30" s="36" t="s">
        <v>29</v>
      </c>
      <c r="D30" s="36"/>
      <c r="E30" s="36" t="s">
        <v>132</v>
      </c>
      <c r="F30" s="64" t="s">
        <v>133</v>
      </c>
    </row>
    <row r="31" ht="12.4" customHeight="1" spans="1:7">
      <c r="A31" s="16"/>
      <c r="B31" s="123"/>
      <c r="C31" s="123"/>
      <c r="D31" s="16"/>
      <c r="E31" s="16"/>
      <c r="F31" s="16"/>
      <c r="G31" s="16"/>
    </row>
    <row r="32" ht="11.25" customHeight="1" spans="1:7">
      <c r="A32" s="16" t="s">
        <v>32</v>
      </c>
      <c r="C32" s="39"/>
      <c r="D32" s="123" t="s">
        <v>33</v>
      </c>
      <c r="E32" s="123"/>
      <c r="F32" s="123"/>
      <c r="G32" s="310"/>
    </row>
    <row r="33" ht="15.4" customHeight="1" spans="1:10">
      <c r="A33" s="39"/>
      <c r="B33" s="39" t="s">
        <v>134</v>
      </c>
      <c r="C33" s="39"/>
      <c r="D33" s="342">
        <v>6250</v>
      </c>
      <c r="E33" s="342"/>
      <c r="F33" s="342">
        <f>C33*D33</f>
        <v>0</v>
      </c>
      <c r="G33" s="310"/>
    </row>
    <row r="34" ht="15.4" customHeight="1" spans="1:10">
      <c r="A34" s="39"/>
      <c r="B34" s="343" t="s">
        <v>135</v>
      </c>
      <c r="C34" s="343"/>
      <c r="D34" s="342"/>
      <c r="E34" s="342"/>
      <c r="F34" s="342"/>
      <c r="G34" s="310"/>
    </row>
    <row r="35" ht="11.25" customHeight="1" spans="1:10">
      <c r="A35" s="35"/>
      <c r="B35" s="213"/>
      <c r="C35" s="35"/>
      <c r="D35" s="312"/>
      <c r="E35" s="312"/>
      <c r="F35" s="312"/>
      <c r="H35" s="67"/>
    </row>
    <row r="36" ht="11.25" customHeight="1" spans="1:10">
      <c r="A36" s="37"/>
      <c r="B36" s="37"/>
      <c r="C36" s="37"/>
      <c r="D36" s="344"/>
      <c r="E36" s="344"/>
      <c r="F36" s="344"/>
    </row>
    <row r="37" ht="15" customHeight="1" spans="1:10">
      <c r="A37" s="35"/>
      <c r="B37" s="36" t="s">
        <v>36</v>
      </c>
      <c r="C37" s="36">
        <v>43.4</v>
      </c>
      <c r="D37" s="345" t="s">
        <v>29</v>
      </c>
      <c r="E37" s="345"/>
      <c r="F37" s="346">
        <f>SUM(F33:F36)</f>
        <v>0</v>
      </c>
      <c r="J37" s="214"/>
    </row>
    <row r="38" s="259" customFormat="1"/>
    <row r="39" s="259" customFormat="1"/>
    <row r="40" s="259" customFormat="1"/>
    <row r="43" spans="1:10">
      <c r="E43" s="55" t="s">
        <v>47</v>
      </c>
    </row>
  </sheetData>
  <mergeCells count="27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G31"/>
    <mergeCell ref="D32:F32"/>
    <mergeCell ref="D33:E33"/>
    <mergeCell ref="D34:E34"/>
    <mergeCell ref="A36:B36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topLeftCell="A13" workbookViewId="0">
      <selection activeCell="A12" sqref="A12:B22"/>
    </sheetView>
  </sheetViews>
  <sheetFormatPr defaultColWidth="9" defaultRowHeight="11.6"/>
  <cols>
    <col min="1" max="1" width="21.4416666666667" style="1" customWidth="1"/>
    <col min="2" max="2" width="17.9416666666667" style="1" customWidth="1"/>
    <col min="3" max="3" width="11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5.06666666666667" style="1" customWidth="1"/>
    <col min="8" max="8" width="10.94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128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138"/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68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69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 t="s">
        <v>70</v>
      </c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9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9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4.65" customHeight="1" spans="1:10">
      <c r="A22" s="19" t="s">
        <v>115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21" t="s">
        <v>130</v>
      </c>
      <c r="B24" s="332" t="s">
        <v>131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B28" s="30" t="s">
        <v>136</v>
      </c>
      <c r="C28" s="333"/>
      <c r="D28" s="326"/>
      <c r="E28" s="326"/>
      <c r="F28" s="326"/>
      <c r="G28" s="326"/>
      <c r="H28" s="325"/>
      <c r="I28" s="33"/>
      <c r="J28" s="31"/>
    </row>
    <row r="29" ht="12" customHeight="1" spans="1:10">
      <c r="A29" s="35" t="s">
        <v>32</v>
      </c>
      <c r="B29" s="213"/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/>
      <c r="C30" s="36"/>
      <c r="D30" s="35"/>
      <c r="E30" s="35"/>
      <c r="F30" s="35"/>
      <c r="G30" s="35"/>
      <c r="H30" s="35"/>
      <c r="I30" s="35"/>
      <c r="J30" s="35"/>
    </row>
    <row r="31" s="67" customFormat="1" ht="12.4" customHeight="1" spans="1:10">
      <c r="A31" s="34"/>
      <c r="B31" s="334" t="s">
        <v>75</v>
      </c>
      <c r="C31" s="293"/>
      <c r="D31" s="329" t="s">
        <v>76</v>
      </c>
      <c r="E31" s="329"/>
      <c r="F31" s="329" t="s">
        <v>77</v>
      </c>
      <c r="G31" s="329"/>
      <c r="H31" s="35"/>
      <c r="I31" s="35"/>
      <c r="J31" s="35"/>
    </row>
    <row r="32" s="67" customFormat="1" ht="12" customHeight="1" spans="1:10">
      <c r="A32" s="35"/>
      <c r="B32" s="335" t="s">
        <v>137</v>
      </c>
      <c r="C32" s="336"/>
      <c r="D32" s="337">
        <v>21800</v>
      </c>
      <c r="E32" s="337"/>
      <c r="F32" s="337">
        <f>D32+110</f>
        <v>21910</v>
      </c>
      <c r="G32" s="337"/>
      <c r="H32" s="207"/>
      <c r="I32" s="34"/>
      <c r="J32" s="35"/>
    </row>
    <row r="33" s="67" customFormat="1" ht="12" customHeight="1" spans="1:10">
      <c r="A33" s="35"/>
      <c r="B33" s="338" t="s">
        <v>138</v>
      </c>
      <c r="C33" s="339"/>
      <c r="D33" s="337">
        <v>21600</v>
      </c>
      <c r="E33" s="337"/>
      <c r="F33" s="337">
        <f>D33+110</f>
        <v>21710</v>
      </c>
      <c r="G33" s="337"/>
      <c r="H33" s="207"/>
      <c r="I33" s="34"/>
      <c r="J33" s="35"/>
    </row>
    <row r="34" ht="12.35" spans="1:10">
      <c r="A34" s="37"/>
      <c r="B34" s="37"/>
      <c r="C34" s="37"/>
      <c r="D34" s="38"/>
      <c r="E34" s="38"/>
      <c r="F34" s="38"/>
      <c r="G34" s="39"/>
      <c r="H34" s="34"/>
      <c r="I34" s="34"/>
      <c r="J34" s="39"/>
    </row>
    <row r="35" s="128" customFormat="1" ht="12.35" spans="1:10">
      <c r="A35" s="34"/>
      <c r="B35" s="34" t="s">
        <v>36</v>
      </c>
      <c r="C35" s="34" t="s">
        <v>139</v>
      </c>
      <c r="D35" s="132">
        <f>SUM(D32:E34)</f>
        <v>43400</v>
      </c>
      <c r="E35" s="132" t="s">
        <v>81</v>
      </c>
      <c r="F35" s="132">
        <f>SUM(F32:G34)</f>
        <v>43620</v>
      </c>
      <c r="G35" s="209" t="s">
        <v>81</v>
      </c>
      <c r="H35" s="210" t="s">
        <v>140</v>
      </c>
      <c r="I35" s="133"/>
      <c r="J35" s="34"/>
    </row>
    <row r="36" ht="21.75" customHeight="1" spans="1:10">
      <c r="D36" s="211"/>
      <c r="E36" s="211"/>
      <c r="F36" s="211"/>
      <c r="G36" s="211"/>
    </row>
    <row r="37" spans="1:10">
      <c r="C37" s="42"/>
      <c r="D37" s="212"/>
      <c r="E37" s="212"/>
      <c r="F37" s="212"/>
      <c r="G37" s="212"/>
      <c r="I37" s="212"/>
      <c r="J37" s="212"/>
    </row>
    <row r="39" spans="1:10">
      <c r="D39" s="43" t="s">
        <v>83</v>
      </c>
      <c r="E39" s="43"/>
      <c r="F39" s="43"/>
      <c r="G39" s="43"/>
      <c r="H39" s="211"/>
      <c r="I39" s="211"/>
    </row>
    <row r="42" ht="13.1" spans="1:10">
      <c r="B42" s="54"/>
    </row>
    <row r="43" spans="1:10">
      <c r="F43" s="340"/>
    </row>
  </sheetData>
  <mergeCells count="34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D28:E28"/>
    <mergeCell ref="D29:E29"/>
    <mergeCell ref="B31:C31"/>
    <mergeCell ref="D31:E31"/>
    <mergeCell ref="F31:G31"/>
    <mergeCell ref="D32:E32"/>
    <mergeCell ref="F32:G32"/>
    <mergeCell ref="B33:C33"/>
    <mergeCell ref="D33:E33"/>
    <mergeCell ref="F33:G33"/>
    <mergeCell ref="A34:B34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1" workbookViewId="0">
      <selection activeCell="C32" sqref="C32"/>
    </sheetView>
  </sheetViews>
  <sheetFormatPr defaultColWidth="9" defaultRowHeight="15.75"/>
  <cols>
    <col min="1" max="1" width="20.625" customWidth="1"/>
    <col min="2" max="2" width="20.875" customWidth="1"/>
    <col min="3" max="3" width="13.75" customWidth="1"/>
    <col min="4" max="4" width="6.75" customWidth="1"/>
    <col min="5" max="5" width="7.625" customWidth="1"/>
    <col min="6" max="6" width="15.5" customWidth="1"/>
    <col min="7" max="7" width="11.0666666666667" customWidth="1"/>
    <col min="10" max="10" width="9.5" customWidth="1"/>
  </cols>
  <sheetData>
    <row r="1" ht="51.4" customHeight="1" spans="1:7">
      <c r="A1" s="2" t="s">
        <v>141</v>
      </c>
      <c r="B1" s="2"/>
      <c r="C1" s="2"/>
      <c r="D1" s="2"/>
      <c r="E1" s="2"/>
      <c r="F1" s="2"/>
      <c r="G1" s="56"/>
    </row>
    <row r="2" spans="1:7">
      <c r="A2" s="2"/>
      <c r="B2" s="2"/>
      <c r="C2" s="2"/>
      <c r="D2" s="2"/>
      <c r="E2" s="2"/>
      <c r="F2" s="2"/>
      <c r="G2" s="56"/>
    </row>
    <row r="3" ht="9.75" customHeight="1" spans="1:7">
      <c r="A3" s="2"/>
      <c r="B3" s="2"/>
      <c r="C3" s="2"/>
      <c r="D3" s="2"/>
      <c r="E3" s="2"/>
      <c r="F3" s="2"/>
      <c r="G3" s="56"/>
    </row>
    <row r="4" hidden="1" spans="1:7">
      <c r="A4" s="2"/>
      <c r="B4" s="2"/>
      <c r="C4" s="2"/>
      <c r="D4" s="2"/>
      <c r="E4" s="2"/>
      <c r="F4" s="2"/>
      <c r="G4" s="57"/>
    </row>
    <row r="5" ht="2.25" customHeight="1" spans="1:7">
      <c r="A5" s="2"/>
      <c r="B5" s="2"/>
      <c r="C5" s="2"/>
      <c r="D5" s="2"/>
      <c r="E5" s="2"/>
      <c r="F5" s="2"/>
    </row>
    <row r="6" ht="13.5" hidden="1" customHeight="1" spans="1:7">
      <c r="A6" s="2"/>
      <c r="B6" s="2"/>
      <c r="C6" s="2"/>
      <c r="D6" s="2"/>
      <c r="E6" s="2"/>
      <c r="F6" s="2"/>
    </row>
    <row r="7" ht="17.25" hidden="1" customHeight="1" spans="1:7">
      <c r="A7" s="2"/>
      <c r="B7" s="2"/>
      <c r="C7" s="2"/>
      <c r="D7" s="2"/>
      <c r="E7" s="2"/>
      <c r="F7" s="2"/>
    </row>
    <row r="8" ht="6.75" customHeight="1" spans="1:7">
      <c r="A8" s="237"/>
      <c r="B8" s="237"/>
      <c r="C8" s="237"/>
      <c r="D8" s="237"/>
      <c r="E8" s="237"/>
      <c r="F8" s="237"/>
    </row>
    <row r="9" ht="15" customHeight="1" spans="1:7">
      <c r="A9" s="5" t="s">
        <v>1</v>
      </c>
      <c r="B9" s="5"/>
      <c r="C9" s="6" t="s">
        <v>2</v>
      </c>
      <c r="D9" s="5"/>
      <c r="E9" s="5"/>
      <c r="F9" s="5"/>
    </row>
    <row r="10" ht="12" customHeight="1" spans="1:7">
      <c r="A10" s="13" t="s">
        <v>3</v>
      </c>
      <c r="B10" s="14"/>
      <c r="C10" s="9" t="s">
        <v>142</v>
      </c>
      <c r="D10" s="7"/>
      <c r="E10" s="7"/>
      <c r="F10" s="7"/>
    </row>
    <row r="11" customHeight="1" spans="1:7">
      <c r="A11" s="13" t="s">
        <v>4</v>
      </c>
      <c r="B11" s="14"/>
      <c r="C11" s="6" t="s">
        <v>5</v>
      </c>
      <c r="D11" s="5"/>
      <c r="E11" s="5"/>
      <c r="F11" s="60"/>
    </row>
    <row r="12" ht="15" customHeight="1" spans="1:7">
      <c r="A12" s="7" t="s">
        <v>6</v>
      </c>
      <c r="B12" s="8"/>
      <c r="C12" s="9"/>
      <c r="D12" s="7"/>
      <c r="E12" s="7"/>
      <c r="F12" s="7"/>
    </row>
    <row r="13" ht="15" customHeight="1" spans="1:7">
      <c r="A13" s="5" t="s">
        <v>7</v>
      </c>
      <c r="B13" s="10"/>
      <c r="C13" s="6" t="s">
        <v>54</v>
      </c>
      <c r="D13" s="60"/>
      <c r="E13" s="60"/>
      <c r="F13" s="60"/>
    </row>
    <row r="14" ht="14.25" customHeight="1" spans="1:7">
      <c r="A14" s="13" t="s">
        <v>143</v>
      </c>
      <c r="B14" s="14"/>
      <c r="C14" s="58"/>
      <c r="D14" s="59"/>
      <c r="E14" s="59"/>
      <c r="F14" s="59"/>
    </row>
    <row r="15" ht="14.25" customHeight="1" spans="1:7">
      <c r="A15" s="13" t="s">
        <v>144</v>
      </c>
      <c r="B15" s="14"/>
      <c r="C15" s="238" t="s">
        <v>145</v>
      </c>
      <c r="D15" s="239"/>
      <c r="E15" s="239"/>
      <c r="F15" s="239"/>
    </row>
    <row r="16" ht="14.25" customHeight="1" spans="1:7">
      <c r="A16" s="7" t="s">
        <v>146</v>
      </c>
      <c r="B16" s="8"/>
      <c r="C16" s="63" t="s">
        <v>14</v>
      </c>
      <c r="D16" s="13"/>
      <c r="E16" s="13"/>
      <c r="F16" s="13"/>
    </row>
    <row r="17" ht="14.25" customHeight="1" spans="1:10">
      <c r="A17" s="12"/>
      <c r="B17" s="17"/>
      <c r="C17" s="320" t="s">
        <v>147</v>
      </c>
      <c r="D17" s="320" t="s">
        <v>148</v>
      </c>
      <c r="E17" s="321"/>
      <c r="F17" s="321"/>
      <c r="I17" s="330"/>
      <c r="J17" s="330"/>
    </row>
    <row r="18" ht="19.5" customHeight="1" spans="1:10">
      <c r="A18" s="5" t="s">
        <v>15</v>
      </c>
      <c r="B18" s="10"/>
      <c r="C18" s="320" t="s">
        <v>149</v>
      </c>
      <c r="D18" s="320" t="s">
        <v>150</v>
      </c>
      <c r="E18" s="321"/>
      <c r="F18" s="321"/>
    </row>
    <row r="19" ht="14.25" customHeight="1" spans="1:10">
      <c r="A19" s="13" t="s">
        <v>143</v>
      </c>
      <c r="B19" s="14"/>
      <c r="C19" s="320" t="s">
        <v>151</v>
      </c>
      <c r="D19" s="320" t="s">
        <v>152</v>
      </c>
      <c r="E19" s="321"/>
      <c r="F19" s="321"/>
    </row>
    <row r="20" ht="14.25" customHeight="1" spans="1:10">
      <c r="A20" s="13"/>
      <c r="B20" s="14"/>
      <c r="C20" s="320" t="s">
        <v>153</v>
      </c>
      <c r="D20" s="320" t="s">
        <v>154</v>
      </c>
      <c r="E20" s="321"/>
      <c r="F20" s="321"/>
    </row>
    <row r="21" ht="14.25" customHeight="1" spans="1:10">
      <c r="A21" s="7"/>
      <c r="B21" s="8"/>
      <c r="C21" s="320" t="s">
        <v>155</v>
      </c>
      <c r="D21" s="320" t="s">
        <v>156</v>
      </c>
      <c r="E21" s="321"/>
      <c r="F21" s="321"/>
    </row>
    <row r="22" spans="1:10">
      <c r="A22" s="10" t="s">
        <v>17</v>
      </c>
      <c r="B22" s="18" t="s">
        <v>18</v>
      </c>
      <c r="C22" s="320" t="s">
        <v>157</v>
      </c>
      <c r="D22" s="320" t="s">
        <v>158</v>
      </c>
      <c r="E22" s="321"/>
      <c r="F22" s="321"/>
    </row>
    <row r="23" ht="13.15" customHeight="1" spans="1:10">
      <c r="A23" s="19" t="s">
        <v>159</v>
      </c>
      <c r="B23" s="20" t="s">
        <v>160</v>
      </c>
      <c r="C23" s="241"/>
      <c r="D23" s="242"/>
      <c r="E23" s="242"/>
      <c r="F23" s="56"/>
    </row>
    <row r="24" ht="16.5" customHeight="1" spans="1:10">
      <c r="A24" s="10" t="s">
        <v>21</v>
      </c>
      <c r="B24" s="18" t="s">
        <v>22</v>
      </c>
      <c r="C24" s="245"/>
      <c r="D24" s="56"/>
      <c r="E24" s="56"/>
      <c r="F24" s="56"/>
    </row>
    <row r="25" spans="1:10">
      <c r="A25" s="21"/>
      <c r="B25" s="22" t="s">
        <v>161</v>
      </c>
      <c r="C25" s="246"/>
      <c r="D25" s="247"/>
      <c r="E25" s="247"/>
      <c r="F25" s="247"/>
    </row>
    <row r="26" spans="1:10">
      <c r="A26" s="23" t="s">
        <v>24</v>
      </c>
      <c r="B26" s="24" t="s">
        <v>25</v>
      </c>
      <c r="C26" s="25" t="s">
        <v>26</v>
      </c>
      <c r="D26" s="248" t="s">
        <v>27</v>
      </c>
      <c r="E26" s="23"/>
      <c r="F26" s="28" t="s">
        <v>28</v>
      </c>
    </row>
    <row r="27" ht="12" customHeight="1" spans="1:10">
      <c r="A27" s="29"/>
      <c r="B27" s="36"/>
      <c r="C27" s="36" t="s">
        <v>162</v>
      </c>
      <c r="D27" s="36" t="s">
        <v>163</v>
      </c>
      <c r="E27" s="36"/>
      <c r="F27" s="64" t="s">
        <v>31</v>
      </c>
    </row>
    <row r="28" ht="6" customHeight="1" spans="1:10">
      <c r="A28" s="29"/>
      <c r="B28" s="29"/>
      <c r="C28" s="29"/>
      <c r="D28" s="29"/>
      <c r="E28" s="29"/>
      <c r="F28" s="29"/>
    </row>
    <row r="29" ht="11.25" customHeight="1" spans="1:10">
      <c r="A29" s="29" t="s">
        <v>32</v>
      </c>
      <c r="B29" s="29"/>
      <c r="C29" s="29"/>
      <c r="D29" s="30" t="s">
        <v>164</v>
      </c>
      <c r="E29" s="30"/>
      <c r="F29" s="30"/>
    </row>
    <row r="30" ht="40.5" customHeight="1" spans="1:10">
      <c r="A30" s="35"/>
      <c r="B30" s="30" t="s">
        <v>165</v>
      </c>
      <c r="C30" s="31">
        <v>4</v>
      </c>
      <c r="D30" s="300">
        <f>F30/C30</f>
        <v>49.75</v>
      </c>
      <c r="E30" s="300"/>
      <c r="F30" s="68">
        <v>199</v>
      </c>
      <c r="G30" s="79"/>
    </row>
    <row r="31" ht="15" customHeight="1" spans="1:10">
      <c r="A31" s="34"/>
      <c r="B31" s="34"/>
      <c r="C31" s="31"/>
      <c r="D31" s="52"/>
      <c r="E31" s="52"/>
      <c r="F31" s="31"/>
    </row>
    <row r="32" ht="15" customHeight="1" spans="1:10">
      <c r="A32" s="30" t="s">
        <v>35</v>
      </c>
      <c r="B32" s="30"/>
      <c r="C32" s="36"/>
      <c r="D32" s="35"/>
      <c r="E32" s="35"/>
      <c r="F32" s="35"/>
    </row>
    <row r="33" ht="15" customHeight="1" spans="1:6">
      <c r="A33" s="37"/>
      <c r="B33" s="37"/>
      <c r="C33" s="37"/>
      <c r="D33" s="38"/>
      <c r="E33" s="38"/>
      <c r="F33" s="38"/>
    </row>
    <row r="34" ht="15" customHeight="1" spans="1:6">
      <c r="A34" s="35"/>
      <c r="B34" s="36" t="s">
        <v>36</v>
      </c>
      <c r="C34" s="36" t="s">
        <v>166</v>
      </c>
      <c r="D34" s="36"/>
      <c r="E34" s="36"/>
      <c r="F34" s="68" t="s">
        <v>167</v>
      </c>
    </row>
    <row r="35" ht="15" customHeight="1" spans="1:6">
      <c r="A35" s="35"/>
      <c r="B35" s="36"/>
      <c r="C35" s="36"/>
      <c r="D35" s="36"/>
      <c r="E35" s="36"/>
      <c r="F35" s="251"/>
    </row>
    <row r="36" spans="1:6">
      <c r="A36" s="67"/>
      <c r="B36" s="56"/>
      <c r="C36" s="56"/>
      <c r="D36" s="56"/>
      <c r="E36" s="254"/>
      <c r="F36" s="237"/>
    </row>
    <row r="37" spans="1:6">
      <c r="A37" s="1"/>
      <c r="B37" s="237"/>
      <c r="C37" s="1"/>
      <c r="D37" s="237"/>
      <c r="F37" s="237"/>
    </row>
    <row r="38" spans="1:6">
      <c r="A38" s="237"/>
      <c r="B38" s="237"/>
      <c r="C38" s="237"/>
      <c r="D38" s="237"/>
      <c r="F38" s="237"/>
    </row>
    <row r="39" spans="1:6">
      <c r="A39" s="331"/>
      <c r="B39" s="237"/>
      <c r="C39" s="237"/>
      <c r="D39" s="237"/>
      <c r="E39" s="55" t="s">
        <v>168</v>
      </c>
      <c r="F39" s="237"/>
    </row>
    <row r="40" spans="1:6">
      <c r="A40" s="13" t="s">
        <v>3</v>
      </c>
      <c r="B40" s="14"/>
      <c r="C40" s="55"/>
      <c r="D40" s="237"/>
      <c r="E40" s="1" t="s">
        <v>143</v>
      </c>
      <c r="F40" s="237"/>
    </row>
    <row r="41" spans="1:6">
      <c r="A41" s="255"/>
      <c r="B41" s="256"/>
      <c r="C41" s="254"/>
      <c r="D41" s="254"/>
      <c r="E41" s="237"/>
      <c r="F41" s="237"/>
    </row>
    <row r="42" spans="1:6">
      <c r="A42" s="257"/>
      <c r="B42" s="258"/>
    </row>
    <row r="43" spans="1:6">
      <c r="A43" s="258"/>
      <c r="B43" s="258"/>
    </row>
  </sheetData>
  <mergeCells count="27">
    <mergeCell ref="A9:B9"/>
    <mergeCell ref="C9:F9"/>
    <mergeCell ref="A10:B10"/>
    <mergeCell ref="C10:F10"/>
    <mergeCell ref="A11:B11"/>
    <mergeCell ref="A12:B12"/>
    <mergeCell ref="C12:F12"/>
    <mergeCell ref="C13:F13"/>
    <mergeCell ref="A14:B14"/>
    <mergeCell ref="C14:F14"/>
    <mergeCell ref="A15:B15"/>
    <mergeCell ref="A16:B16"/>
    <mergeCell ref="C16:F16"/>
    <mergeCell ref="A17:B17"/>
    <mergeCell ref="I17:J17"/>
    <mergeCell ref="A18:B18"/>
    <mergeCell ref="A19:B19"/>
    <mergeCell ref="A20:B20"/>
    <mergeCell ref="A21:B21"/>
    <mergeCell ref="D26:E26"/>
    <mergeCell ref="A28:F28"/>
    <mergeCell ref="D29:F29"/>
    <mergeCell ref="D30:E30"/>
    <mergeCell ref="A32:B32"/>
    <mergeCell ref="A33:B33"/>
    <mergeCell ref="A40:B40"/>
    <mergeCell ref="A1:F7"/>
  </mergeCells>
  <pageMargins left="0.47244094488189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3"/>
  <sheetViews>
    <sheetView topLeftCell="A13" workbookViewId="0">
      <selection activeCell="E40" sqref="E40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169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170</v>
      </c>
      <c r="D16" s="59"/>
      <c r="E16" s="59"/>
      <c r="F16" s="59"/>
    </row>
    <row r="17" ht="14.25" customHeight="1" spans="1:6">
      <c r="A17" s="13" t="s">
        <v>86</v>
      </c>
      <c r="B17" s="14"/>
      <c r="C17" s="61" t="s">
        <v>57</v>
      </c>
      <c r="D17" s="62"/>
      <c r="E17" s="62"/>
      <c r="F17" s="62"/>
    </row>
    <row r="18" ht="14.25" customHeight="1" spans="1:6">
      <c r="A18" s="13" t="s">
        <v>88</v>
      </c>
      <c r="B18" s="14"/>
      <c r="C18" s="63"/>
      <c r="D18" s="13"/>
      <c r="E18" s="13"/>
      <c r="F18" s="13"/>
    </row>
    <row r="19" ht="14.25" customHeight="1" spans="1:6">
      <c r="A19" s="7" t="s">
        <v>89</v>
      </c>
      <c r="B19" s="8"/>
      <c r="C19" s="63"/>
      <c r="D19" s="13"/>
      <c r="E19" s="13"/>
      <c r="F19" s="13"/>
    </row>
    <row r="20" ht="14.25" customHeight="1" spans="1:6">
      <c r="A20" s="12"/>
      <c r="B20" s="17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16</v>
      </c>
      <c r="B22" s="14"/>
      <c r="C22" s="63"/>
      <c r="D22" s="13"/>
      <c r="E22" s="13"/>
      <c r="F22" s="13"/>
    </row>
    <row r="23" ht="14.25" customHeight="1" spans="1:6">
      <c r="A23" s="13"/>
      <c r="B23" s="14"/>
      <c r="C23" s="63"/>
      <c r="D23" s="13"/>
      <c r="E23" s="13"/>
      <c r="F23" s="13"/>
    </row>
    <row r="24" ht="14.25" customHeight="1" spans="1:6">
      <c r="A24" s="7"/>
      <c r="B24" s="8"/>
      <c r="C24" s="63"/>
      <c r="D24" s="13"/>
      <c r="E24" s="13"/>
      <c r="F24" s="13"/>
    </row>
    <row r="25" ht="14.25" customHeight="1" spans="1:6">
      <c r="A25" s="10" t="s">
        <v>17</v>
      </c>
      <c r="B25" s="18" t="s">
        <v>18</v>
      </c>
      <c r="C25" s="63"/>
      <c r="D25" s="13"/>
      <c r="E25" s="13"/>
      <c r="F25" s="13"/>
    </row>
    <row r="26" spans="1:6">
      <c r="A26" s="19" t="s">
        <v>90</v>
      </c>
      <c r="B26" s="20" t="s">
        <v>20</v>
      </c>
      <c r="C26" s="63"/>
      <c r="D26" s="13"/>
      <c r="E26" s="13"/>
      <c r="F26" s="13"/>
    </row>
    <row r="27" ht="14.25" customHeight="1" spans="1:6">
      <c r="A27" s="10" t="s">
        <v>21</v>
      </c>
      <c r="B27" s="18" t="s">
        <v>22</v>
      </c>
      <c r="C27" s="63"/>
      <c r="D27" s="13"/>
      <c r="E27" s="13"/>
      <c r="F27" s="13"/>
    </row>
    <row r="28" ht="13.5" customHeight="1" spans="1:6">
      <c r="A28" s="21" t="s">
        <v>171</v>
      </c>
      <c r="B28" s="22" t="s">
        <v>172</v>
      </c>
      <c r="C28" s="63"/>
      <c r="D28" s="13"/>
      <c r="E28" s="13"/>
      <c r="F28" s="13"/>
    </row>
    <row r="29" spans="1:6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6">
      <c r="A30" s="29"/>
      <c r="B30" s="36"/>
      <c r="C30" s="36" t="s">
        <v>29</v>
      </c>
      <c r="D30" s="36"/>
      <c r="E30" s="36" t="s">
        <v>30</v>
      </c>
      <c r="F30" s="64" t="s">
        <v>31</v>
      </c>
    </row>
    <row r="31" ht="6" customHeight="1" spans="1:6">
      <c r="A31" s="29"/>
      <c r="B31" s="29"/>
      <c r="C31" s="29"/>
      <c r="D31" s="29"/>
      <c r="E31" s="29"/>
      <c r="F31" s="29"/>
    </row>
    <row r="32" ht="11.25" customHeight="1" spans="1:6">
      <c r="A32" s="29" t="s">
        <v>32</v>
      </c>
      <c r="B32" s="29"/>
      <c r="C32" s="29"/>
      <c r="D32" s="30" t="s">
        <v>33</v>
      </c>
      <c r="E32" s="30"/>
      <c r="F32" s="30"/>
    </row>
    <row r="33" ht="31.9" customHeight="1" spans="1:10">
      <c r="A33" s="35"/>
      <c r="B33" s="30" t="s">
        <v>92</v>
      </c>
      <c r="C33" s="36">
        <v>10</v>
      </c>
      <c r="D33" s="304">
        <v>2600</v>
      </c>
      <c r="E33" s="304"/>
      <c r="F33" s="322">
        <f>C33*D33</f>
        <v>26000</v>
      </c>
    </row>
    <row r="34" ht="22.9" customHeight="1" spans="1:10">
      <c r="A34" s="35"/>
      <c r="B34" s="213"/>
      <c r="C34" s="41"/>
      <c r="D34" s="41"/>
      <c r="E34" s="41"/>
      <c r="F34" s="41"/>
    </row>
    <row r="35" ht="11.25" customHeight="1" spans="1:10">
      <c r="A35" s="35"/>
      <c r="B35" s="213"/>
      <c r="C35" s="41"/>
      <c r="D35" s="41"/>
      <c r="E35" s="41"/>
      <c r="F35" s="41"/>
    </row>
    <row r="36" ht="11.25" customHeight="1" spans="1:10">
      <c r="A36" s="35"/>
      <c r="B36" s="213"/>
      <c r="C36" s="41"/>
      <c r="D36" s="41"/>
      <c r="E36" s="41"/>
      <c r="F36" s="41"/>
    </row>
    <row r="37" ht="15" customHeight="1" spans="1:10">
      <c r="A37" s="34"/>
      <c r="B37" s="136"/>
      <c r="C37" s="31"/>
      <c r="D37" s="31"/>
      <c r="E37" s="65"/>
      <c r="F37" s="66"/>
      <c r="J37" s="214"/>
    </row>
    <row r="38" s="259" customFormat="1"/>
    <row r="39" s="259" customFormat="1"/>
    <row r="40" s="259" customFormat="1"/>
    <row r="43" spans="1:10">
      <c r="E43" s="55" t="s">
        <v>47</v>
      </c>
    </row>
  </sheetData>
  <mergeCells count="25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F31"/>
    <mergeCell ref="D32:F32"/>
    <mergeCell ref="D33:E33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0"/>
  <sheetViews>
    <sheetView topLeftCell="A10" workbookViewId="0">
      <selection activeCell="F31" sqref="F31:G31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4.066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169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86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173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/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0" t="s">
        <v>17</v>
      </c>
      <c r="B21" s="18" t="s">
        <v>18</v>
      </c>
      <c r="C21" s="15"/>
      <c r="D21" s="16"/>
      <c r="E21" s="16"/>
      <c r="F21" s="16"/>
      <c r="G21" s="16"/>
      <c r="H21" s="16"/>
      <c r="I21" s="16"/>
    </row>
    <row r="22" customFormat="1" ht="14.65" customHeight="1" spans="1:10">
      <c r="A22" s="19" t="s">
        <v>90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0" t="s">
        <v>21</v>
      </c>
      <c r="B23" s="18" t="s">
        <v>22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21" t="s">
        <v>171</v>
      </c>
      <c r="B24" s="22" t="s">
        <v>172</v>
      </c>
      <c r="C24" s="15"/>
      <c r="D24" s="16"/>
      <c r="E24" s="16"/>
      <c r="F24" s="16"/>
      <c r="G24" s="16"/>
      <c r="H24" s="16"/>
      <c r="I24" s="16"/>
    </row>
    <row r="25" customFormat="1" ht="20.25" customHeight="1" spans="1:10">
      <c r="A25" s="23" t="s">
        <v>24</v>
      </c>
      <c r="B25" s="24" t="s">
        <v>25</v>
      </c>
      <c r="C25" s="25" t="s">
        <v>71</v>
      </c>
      <c r="D25" s="27" t="s">
        <v>72</v>
      </c>
      <c r="E25" s="201"/>
      <c r="F25" s="27" t="s">
        <v>73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23.65" customHeight="1" spans="1:10">
      <c r="A28"/>
      <c r="B28" s="30" t="s">
        <v>92</v>
      </c>
      <c r="C28" s="325"/>
      <c r="D28" s="326"/>
      <c r="E28" s="326"/>
      <c r="F28" s="326"/>
      <c r="G28" s="326"/>
      <c r="H28" s="325"/>
      <c r="I28" s="33"/>
      <c r="J28" s="31"/>
    </row>
    <row r="29" ht="12" customHeight="1" spans="1:10">
      <c r="A29" s="35" t="s">
        <v>32</v>
      </c>
      <c r="B29" s="213"/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327" t="s">
        <v>75</v>
      </c>
      <c r="C30" s="328"/>
      <c r="D30" s="329" t="s">
        <v>174</v>
      </c>
      <c r="E30" s="329"/>
      <c r="F30" s="329" t="s">
        <v>175</v>
      </c>
      <c r="G30" s="329"/>
      <c r="H30" s="35"/>
      <c r="I30" s="35"/>
      <c r="J30" s="35"/>
    </row>
    <row r="31" s="67" customFormat="1" ht="19.5" customHeight="1" spans="1:10">
      <c r="A31" s="34"/>
      <c r="B31" s="329" t="s">
        <v>176</v>
      </c>
      <c r="C31" s="329"/>
      <c r="D31" s="329" t="s">
        <v>177</v>
      </c>
      <c r="E31" s="329"/>
      <c r="F31" s="329" t="s">
        <v>178</v>
      </c>
      <c r="G31" s="329"/>
      <c r="H31" s="35"/>
      <c r="I31" s="35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98"/>
      <c r="C33" s="205"/>
      <c r="D33" s="206"/>
      <c r="E33" s="206"/>
      <c r="F33" s="206"/>
      <c r="G33" s="206"/>
      <c r="H33" s="207"/>
      <c r="I33" s="34"/>
      <c r="J33" s="35"/>
    </row>
    <row r="34" s="67" customFormat="1" ht="12" customHeight="1" spans="1:10">
      <c r="A34" s="35"/>
      <c r="B34" s="204"/>
      <c r="C34" s="205"/>
      <c r="D34" s="206"/>
      <c r="E34" s="206"/>
      <c r="F34" s="206"/>
      <c r="G34" s="206"/>
      <c r="H34" s="207"/>
      <c r="I34" s="34"/>
      <c r="J34" s="35"/>
    </row>
    <row r="35" ht="12.35" spans="1:10">
      <c r="A35" s="37"/>
      <c r="B35" s="37"/>
      <c r="C35" s="37"/>
      <c r="D35" s="38"/>
      <c r="E35" s="38"/>
      <c r="F35" s="38"/>
      <c r="G35" s="39"/>
      <c r="H35" s="34"/>
      <c r="I35" s="34"/>
      <c r="J35" s="39"/>
    </row>
    <row r="36" s="128" customFormat="1" ht="12.35" spans="1:10">
      <c r="A36" s="34"/>
      <c r="B36" s="34" t="s">
        <v>36</v>
      </c>
      <c r="C36" s="34" t="s">
        <v>179</v>
      </c>
      <c r="D36" s="132">
        <f>250*40</f>
        <v>10000</v>
      </c>
      <c r="E36" s="132" t="s">
        <v>81</v>
      </c>
      <c r="F36" s="314">
        <f>260*40</f>
        <v>10400</v>
      </c>
      <c r="G36" s="209" t="s">
        <v>81</v>
      </c>
      <c r="H36" s="210" t="s">
        <v>180</v>
      </c>
      <c r="I36" s="133"/>
      <c r="J36" s="34"/>
    </row>
    <row r="37" ht="21.75" customHeight="1" spans="1:10">
      <c r="D37" s="211"/>
      <c r="E37" s="211"/>
      <c r="F37" s="211"/>
      <c r="G37" s="211"/>
    </row>
    <row r="38" spans="1:10">
      <c r="C38" s="42"/>
      <c r="D38" s="212"/>
      <c r="E38" s="212"/>
      <c r="F38" s="212"/>
      <c r="G38" s="212"/>
      <c r="I38" s="212"/>
      <c r="J38" s="212"/>
    </row>
    <row r="40" spans="1:10">
      <c r="D40" s="43" t="s">
        <v>83</v>
      </c>
      <c r="E40" s="43"/>
      <c r="F40" s="43"/>
      <c r="G40" s="43"/>
      <c r="H40" s="211"/>
      <c r="I40" s="211"/>
    </row>
  </sheetData>
  <mergeCells count="38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D28:E28"/>
    <mergeCell ref="D29:E29"/>
    <mergeCell ref="B30:C30"/>
    <mergeCell ref="D30:E30"/>
    <mergeCell ref="F30:G30"/>
    <mergeCell ref="B31:C31"/>
    <mergeCell ref="D31:E31"/>
    <mergeCell ref="F31:G31"/>
    <mergeCell ref="D32:E32"/>
    <mergeCell ref="F32:G32"/>
    <mergeCell ref="D33:E33"/>
    <mergeCell ref="F33:G33"/>
    <mergeCell ref="D34:E34"/>
    <mergeCell ref="F34:G34"/>
    <mergeCell ref="A35:B35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opLeftCell="A8" workbookViewId="0">
      <selection activeCell="A28" sqref="A28:F28"/>
    </sheetView>
  </sheetViews>
  <sheetFormatPr defaultColWidth="9" defaultRowHeight="15.75"/>
  <cols>
    <col min="1" max="1" width="20.625" customWidth="1"/>
    <col min="2" max="2" width="18.0666666666667" customWidth="1"/>
    <col min="3" max="3" width="11.8166666666667" customWidth="1"/>
    <col min="4" max="4" width="6.75" customWidth="1"/>
    <col min="5" max="5" width="7.625" customWidth="1"/>
    <col min="6" max="6" width="17.625" customWidth="1"/>
    <col min="10" max="10" width="9.5" customWidth="1"/>
  </cols>
  <sheetData>
    <row r="1" ht="46.5" customHeight="1"/>
    <row r="2" ht="51.4" customHeight="1" spans="1:7">
      <c r="A2" s="2" t="s">
        <v>0</v>
      </c>
      <c r="B2" s="2"/>
      <c r="C2" s="2"/>
      <c r="D2" s="2"/>
      <c r="E2" s="2"/>
      <c r="F2" s="2"/>
      <c r="G2" s="56"/>
    </row>
    <row r="3" ht="9.75" customHeight="1" spans="1:7">
      <c r="A3" s="2"/>
      <c r="B3" s="2"/>
      <c r="C3" s="2"/>
      <c r="D3" s="2"/>
      <c r="E3" s="2"/>
      <c r="F3" s="2"/>
      <c r="G3" s="56"/>
    </row>
    <row r="4" hidden="1" spans="1:7">
      <c r="A4" s="2"/>
      <c r="B4" s="2"/>
      <c r="C4" s="2"/>
      <c r="D4" s="2"/>
      <c r="E4" s="2"/>
      <c r="F4" s="2"/>
      <c r="G4" s="57"/>
    </row>
    <row r="5" ht="2.25" customHeight="1" spans="1:7">
      <c r="A5" s="2"/>
      <c r="B5" s="2"/>
      <c r="C5" s="2"/>
      <c r="D5" s="2"/>
      <c r="E5" s="2"/>
      <c r="F5" s="2"/>
    </row>
    <row r="6" ht="13.5" hidden="1" customHeight="1" spans="1:7">
      <c r="A6" s="2"/>
      <c r="B6" s="2"/>
      <c r="C6" s="2"/>
      <c r="D6" s="2"/>
      <c r="E6" s="2"/>
      <c r="F6" s="2"/>
    </row>
    <row r="7" ht="17.25" hidden="1" customHeight="1" spans="1:7">
      <c r="A7" s="2"/>
      <c r="B7" s="2"/>
      <c r="C7" s="2"/>
      <c r="D7" s="2"/>
      <c r="E7" s="2"/>
      <c r="F7" s="2"/>
    </row>
    <row r="8" ht="6.75" customHeight="1" spans="1:7">
      <c r="A8" s="237"/>
      <c r="B8" s="237"/>
      <c r="C8" s="237"/>
      <c r="D8" s="237"/>
      <c r="E8" s="237"/>
      <c r="F8" s="237"/>
    </row>
    <row r="9" ht="15" customHeight="1" spans="1:7">
      <c r="A9" s="5" t="s">
        <v>1</v>
      </c>
      <c r="B9" s="5"/>
      <c r="C9" s="6" t="s">
        <v>2</v>
      </c>
      <c r="D9" s="5"/>
      <c r="E9" s="5"/>
      <c r="F9" s="5"/>
    </row>
    <row r="10" ht="12" customHeight="1" spans="1:7">
      <c r="A10" s="13" t="s">
        <v>3</v>
      </c>
      <c r="B10" s="14"/>
      <c r="C10" s="9" t="s">
        <v>181</v>
      </c>
      <c r="D10" s="7"/>
      <c r="E10" s="7"/>
      <c r="F10" s="7"/>
    </row>
    <row r="11" customHeight="1" spans="1:7">
      <c r="A11" s="13" t="s">
        <v>4</v>
      </c>
      <c r="B11" s="14"/>
      <c r="C11" s="120" t="s">
        <v>5</v>
      </c>
      <c r="D11" s="121"/>
      <c r="E11" s="121"/>
      <c r="F11" s="121"/>
    </row>
    <row r="12" ht="15" customHeight="1" spans="1:7">
      <c r="A12" s="7" t="s">
        <v>6</v>
      </c>
      <c r="B12" s="8"/>
      <c r="C12" s="9"/>
      <c r="D12" s="7"/>
      <c r="E12" s="7"/>
      <c r="F12" s="7"/>
    </row>
    <row r="13" ht="15" customHeight="1" spans="1:7">
      <c r="A13" s="5" t="s">
        <v>7</v>
      </c>
      <c r="B13" s="10"/>
      <c r="C13" s="6" t="s">
        <v>54</v>
      </c>
      <c r="D13" s="60"/>
      <c r="E13" s="60"/>
      <c r="F13" s="60"/>
    </row>
    <row r="14" ht="14.25" customHeight="1" spans="1:7">
      <c r="A14" s="13" t="s">
        <v>86</v>
      </c>
      <c r="B14" s="14"/>
      <c r="C14" s="58"/>
      <c r="D14" s="59"/>
      <c r="E14" s="59"/>
      <c r="F14" s="59"/>
    </row>
    <row r="15" ht="14.25" customHeight="1" spans="1:7">
      <c r="A15" s="13" t="s">
        <v>88</v>
      </c>
      <c r="B15" s="14"/>
      <c r="C15" s="238" t="s">
        <v>12</v>
      </c>
      <c r="D15" s="239"/>
      <c r="E15" s="239"/>
      <c r="F15" s="239"/>
    </row>
    <row r="16" ht="14.25" customHeight="1" spans="1:7">
      <c r="A16" s="7" t="s">
        <v>89</v>
      </c>
      <c r="B16" s="8"/>
      <c r="C16" s="63" t="s">
        <v>14</v>
      </c>
      <c r="D16" s="13"/>
      <c r="E16" s="13"/>
      <c r="F16" s="13"/>
    </row>
    <row r="17" ht="14.25" customHeight="1" spans="1:10">
      <c r="A17" s="12"/>
      <c r="B17" s="17"/>
      <c r="C17" s="320" t="s">
        <v>147</v>
      </c>
      <c r="D17" s="320" t="s">
        <v>148</v>
      </c>
      <c r="E17" s="321"/>
      <c r="F17" s="321"/>
      <c r="G17" s="321"/>
      <c r="H17" s="321"/>
      <c r="I17" s="321"/>
      <c r="J17" s="321"/>
    </row>
    <row r="18" ht="19.5" customHeight="1" spans="1:10">
      <c r="A18" s="5" t="s">
        <v>15</v>
      </c>
      <c r="B18" s="10"/>
      <c r="C18" s="320" t="s">
        <v>149</v>
      </c>
      <c r="D18" s="320" t="s">
        <v>150</v>
      </c>
      <c r="E18" s="321"/>
      <c r="F18" s="321"/>
      <c r="G18" s="321"/>
      <c r="H18" s="321"/>
      <c r="I18" s="321"/>
      <c r="J18" s="321"/>
    </row>
    <row r="19" ht="14.25" customHeight="1" spans="1:10">
      <c r="A19" s="13" t="s">
        <v>16</v>
      </c>
      <c r="B19" s="14"/>
      <c r="C19" s="320" t="s">
        <v>151</v>
      </c>
      <c r="D19" s="320" t="s">
        <v>152</v>
      </c>
      <c r="E19" s="321"/>
      <c r="F19" s="321"/>
      <c r="G19" s="321"/>
      <c r="H19" s="321"/>
      <c r="I19" s="321"/>
      <c r="J19" s="321"/>
    </row>
    <row r="20" ht="14.25" customHeight="1" spans="1:10">
      <c r="A20" s="13"/>
      <c r="B20" s="14"/>
      <c r="C20" s="320" t="s">
        <v>153</v>
      </c>
      <c r="D20" s="320" t="s">
        <v>154</v>
      </c>
      <c r="E20" s="321"/>
      <c r="F20" s="321"/>
      <c r="G20" s="321"/>
      <c r="H20" s="321"/>
      <c r="I20" s="321"/>
      <c r="J20" s="321"/>
    </row>
    <row r="21" ht="14.25" customHeight="1" spans="1:10">
      <c r="A21" s="7"/>
      <c r="B21" s="8"/>
      <c r="C21" s="320" t="s">
        <v>155</v>
      </c>
      <c r="D21" s="320" t="s">
        <v>156</v>
      </c>
      <c r="E21" s="321"/>
      <c r="F21" s="321"/>
      <c r="G21" s="321"/>
      <c r="H21" s="321"/>
      <c r="I21" s="321"/>
      <c r="J21" s="321"/>
    </row>
    <row r="22" spans="1:10">
      <c r="A22" s="10" t="s">
        <v>17</v>
      </c>
      <c r="B22" s="18" t="s">
        <v>18</v>
      </c>
      <c r="C22" s="320" t="s">
        <v>157</v>
      </c>
      <c r="D22" s="320" t="s">
        <v>158</v>
      </c>
      <c r="E22" s="321"/>
      <c r="F22" s="321"/>
      <c r="G22" s="321"/>
      <c r="H22" s="321"/>
      <c r="I22" s="321"/>
      <c r="J22" s="321"/>
    </row>
    <row r="23" ht="13.15" customHeight="1" spans="1:10">
      <c r="A23" s="19" t="s">
        <v>182</v>
      </c>
      <c r="B23" s="20" t="s">
        <v>20</v>
      </c>
      <c r="C23" s="241"/>
      <c r="D23" s="242"/>
      <c r="E23" s="242"/>
      <c r="F23" s="56"/>
    </row>
    <row r="24" ht="16.5" customHeight="1" spans="1:10">
      <c r="A24" s="10" t="s">
        <v>21</v>
      </c>
      <c r="B24" s="18" t="s">
        <v>22</v>
      </c>
      <c r="C24" s="245"/>
      <c r="D24" s="56"/>
      <c r="E24" s="56"/>
      <c r="F24" s="56"/>
    </row>
    <row r="25" spans="1:10">
      <c r="A25" s="21"/>
      <c r="B25" s="22" t="s">
        <v>183</v>
      </c>
      <c r="C25" s="246"/>
      <c r="D25" s="247"/>
      <c r="E25" s="247"/>
      <c r="F25" s="247"/>
    </row>
    <row r="26" spans="1:10">
      <c r="A26" s="23" t="s">
        <v>24</v>
      </c>
      <c r="B26" s="24" t="s">
        <v>25</v>
      </c>
      <c r="C26" s="25" t="s">
        <v>26</v>
      </c>
      <c r="D26" s="248" t="s">
        <v>27</v>
      </c>
      <c r="E26" s="23"/>
      <c r="F26" s="28" t="s">
        <v>28</v>
      </c>
    </row>
    <row r="27" ht="12" customHeight="1" spans="1:10">
      <c r="A27" s="29"/>
      <c r="B27" s="36"/>
      <c r="C27" s="36" t="s">
        <v>29</v>
      </c>
      <c r="D27" s="36" t="s">
        <v>30</v>
      </c>
      <c r="E27" s="36"/>
      <c r="F27" s="64" t="s">
        <v>31</v>
      </c>
    </row>
    <row r="28" ht="6" customHeight="1" spans="1:10">
      <c r="A28" s="29"/>
      <c r="B28" s="29"/>
      <c r="C28" s="29"/>
      <c r="D28" s="29"/>
      <c r="E28" s="29"/>
      <c r="F28" s="29"/>
    </row>
    <row r="29" ht="11.25" customHeight="1" spans="1:10">
      <c r="A29" s="29" t="s">
        <v>32</v>
      </c>
      <c r="B29" s="29"/>
      <c r="C29" s="29"/>
      <c r="D29" s="30" t="s">
        <v>184</v>
      </c>
      <c r="E29" s="30"/>
      <c r="F29" s="30"/>
    </row>
    <row r="30" ht="40.5" customHeight="1" spans="1:10">
      <c r="A30" s="35"/>
      <c r="B30" s="30" t="s">
        <v>92</v>
      </c>
      <c r="C30" s="36">
        <v>10</v>
      </c>
      <c r="D30" s="304">
        <v>2600</v>
      </c>
      <c r="E30" s="304"/>
      <c r="F30" s="322">
        <f>C30*D30</f>
        <v>26000</v>
      </c>
    </row>
    <row r="31" ht="15" customHeight="1" spans="1:10">
      <c r="A31" s="34"/>
      <c r="B31" s="34"/>
      <c r="C31" s="36"/>
      <c r="D31" s="323"/>
      <c r="E31" s="323"/>
      <c r="F31" s="36"/>
    </row>
    <row r="32" ht="15" customHeight="1" spans="1:10">
      <c r="A32" s="30" t="s">
        <v>35</v>
      </c>
      <c r="B32" s="30"/>
      <c r="C32" s="36"/>
      <c r="D32" s="35"/>
      <c r="E32" s="35"/>
      <c r="F32" s="35"/>
    </row>
    <row r="33" ht="15" customHeight="1" spans="1:6">
      <c r="A33" s="37"/>
      <c r="B33" s="37"/>
      <c r="C33" s="37"/>
      <c r="D33" s="38"/>
      <c r="E33" s="38"/>
      <c r="F33" s="38"/>
    </row>
    <row r="34" ht="15" customHeight="1" spans="1:6">
      <c r="A34" s="35"/>
      <c r="B34" s="36" t="s">
        <v>36</v>
      </c>
      <c r="C34" s="36" t="s">
        <v>185</v>
      </c>
      <c r="D34" s="36"/>
      <c r="E34" s="36"/>
      <c r="F34" s="324">
        <f>SUM(F30:F33)</f>
        <v>26000</v>
      </c>
    </row>
    <row r="35" ht="15" customHeight="1" spans="1:6">
      <c r="A35" s="35"/>
      <c r="B35" s="36"/>
      <c r="C35" s="36"/>
      <c r="D35" s="36"/>
      <c r="E35" s="36"/>
      <c r="F35" s="251"/>
    </row>
    <row r="36" ht="15" customHeight="1" spans="1:6">
      <c r="A36" s="35"/>
      <c r="B36" s="36"/>
      <c r="C36" s="36"/>
      <c r="D36" s="36"/>
      <c r="E36" s="36"/>
      <c r="F36" s="251"/>
    </row>
    <row r="37" spans="1:6">
      <c r="A37" s="318" t="s">
        <v>45</v>
      </c>
      <c r="B37" s="237"/>
      <c r="D37" s="237" t="s">
        <v>186</v>
      </c>
      <c r="F37" s="237"/>
    </row>
    <row r="38" spans="1:6">
      <c r="A38" s="237"/>
      <c r="B38" s="237"/>
      <c r="D38" s="237"/>
      <c r="F38" s="237"/>
    </row>
    <row r="39" spans="1:6">
      <c r="A39" s="237"/>
      <c r="B39" s="237"/>
      <c r="D39" s="237"/>
      <c r="F39" s="237"/>
    </row>
    <row r="40" spans="1:6">
      <c r="A40" s="237"/>
      <c r="B40" s="237"/>
      <c r="D40" s="237"/>
      <c r="F40" s="237"/>
    </row>
    <row r="41" spans="1:6">
      <c r="A41" s="55" t="s">
        <v>47</v>
      </c>
      <c r="B41" s="237"/>
      <c r="D41" s="55" t="s">
        <v>47</v>
      </c>
      <c r="F41" s="237"/>
    </row>
    <row r="42" spans="1:6">
      <c r="A42" s="255"/>
      <c r="B42" s="256"/>
      <c r="C42" s="254"/>
      <c r="D42" s="254"/>
      <c r="E42" s="237"/>
      <c r="F42" s="237"/>
    </row>
    <row r="43" spans="1:6">
      <c r="A43" s="257"/>
      <c r="B43" s="258"/>
    </row>
    <row r="44" spans="1:6">
      <c r="A44" s="258"/>
      <c r="B44" s="258"/>
    </row>
  </sheetData>
  <mergeCells count="26">
    <mergeCell ref="A9:B9"/>
    <mergeCell ref="C9:F9"/>
    <mergeCell ref="A10:B10"/>
    <mergeCell ref="C10:F10"/>
    <mergeCell ref="A11:B11"/>
    <mergeCell ref="C11:F11"/>
    <mergeCell ref="A12:B12"/>
    <mergeCell ref="C12:F12"/>
    <mergeCell ref="C13:F13"/>
    <mergeCell ref="A14:B14"/>
    <mergeCell ref="C14:F14"/>
    <mergeCell ref="A15:B15"/>
    <mergeCell ref="A16:B16"/>
    <mergeCell ref="C16:F16"/>
    <mergeCell ref="A17:B17"/>
    <mergeCell ref="A18:B18"/>
    <mergeCell ref="A19:B19"/>
    <mergeCell ref="A20:B20"/>
    <mergeCell ref="A21:B21"/>
    <mergeCell ref="D26:E26"/>
    <mergeCell ref="A28:F28"/>
    <mergeCell ref="D29:F29"/>
    <mergeCell ref="D30:E30"/>
    <mergeCell ref="A32:B32"/>
    <mergeCell ref="A33:B33"/>
    <mergeCell ref="A2:F7"/>
  </mergeCells>
  <printOptions horizontalCentered="1"/>
  <pageMargins left="0.393700787401575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19" workbookViewId="0">
      <selection activeCell="A23" sqref="A23:C23"/>
    </sheetView>
  </sheetViews>
  <sheetFormatPr defaultColWidth="9" defaultRowHeight="15.75" outlineLevelCol="7"/>
  <cols>
    <col min="1" max="1" width="17.75" customWidth="1"/>
    <col min="2" max="2" width="22.5666666666667" customWidth="1"/>
    <col min="3" max="3" width="13.75" customWidth="1"/>
    <col min="4" max="4" width="6.75" customWidth="1"/>
    <col min="5" max="5" width="7.625" customWidth="1"/>
    <col min="6" max="6" width="15.5" customWidth="1"/>
    <col min="10" max="10" width="9.5" customWidth="1"/>
  </cols>
  <sheetData>
    <row r="1" ht="46.5" customHeight="1"/>
    <row r="2" ht="51.4" customHeight="1" spans="1:7">
      <c r="A2" s="2" t="s">
        <v>48</v>
      </c>
      <c r="B2" s="2"/>
      <c r="C2" s="2"/>
      <c r="D2" s="2"/>
      <c r="E2" s="2"/>
      <c r="F2" s="2"/>
      <c r="G2" s="56"/>
    </row>
    <row r="3" customHeight="1" spans="1:7">
      <c r="A3" s="2"/>
      <c r="B3" s="2"/>
      <c r="C3" s="2"/>
      <c r="D3" s="2"/>
      <c r="E3" s="2"/>
      <c r="F3" s="2"/>
      <c r="G3" s="56"/>
    </row>
    <row r="4" ht="9.75" customHeight="1" spans="1:7">
      <c r="A4" s="2"/>
      <c r="B4" s="2"/>
      <c r="C4" s="2"/>
      <c r="D4" s="2"/>
      <c r="E4" s="2"/>
      <c r="F4" s="2"/>
      <c r="G4" s="56"/>
    </row>
    <row r="5" hidden="1" customHeight="1" spans="1:7">
      <c r="A5" s="2"/>
      <c r="B5" s="2"/>
      <c r="C5" s="2"/>
      <c r="D5" s="2"/>
      <c r="E5" s="2"/>
      <c r="F5" s="2"/>
      <c r="G5" s="57"/>
    </row>
    <row r="6" ht="2.25" customHeight="1" spans="1:7">
      <c r="A6" s="2"/>
      <c r="B6" s="2"/>
      <c r="C6" s="2"/>
      <c r="D6" s="2"/>
      <c r="E6" s="2"/>
      <c r="F6" s="2"/>
    </row>
    <row r="7" ht="13.5" hidden="1" customHeight="1" spans="1:7">
      <c r="A7" s="2"/>
      <c r="B7" s="2"/>
      <c r="C7" s="2"/>
      <c r="D7" s="2"/>
      <c r="E7" s="2"/>
      <c r="F7" s="2"/>
    </row>
    <row r="8" ht="17.25" hidden="1" customHeight="1" spans="1:7">
      <c r="A8" s="2"/>
      <c r="B8" s="2"/>
      <c r="C8" s="2"/>
      <c r="D8" s="2"/>
      <c r="E8" s="2"/>
      <c r="F8" s="2"/>
    </row>
    <row r="9" ht="6.75" customHeight="1" spans="1:7">
      <c r="A9" s="2"/>
      <c r="B9" s="2"/>
      <c r="C9" s="2"/>
      <c r="D9" s="2"/>
      <c r="E9" s="2"/>
      <c r="F9" s="2"/>
    </row>
    <row r="10" ht="15" customHeight="1" spans="1:7">
      <c r="A10" s="5" t="s">
        <v>1</v>
      </c>
      <c r="B10" s="5"/>
      <c r="C10" s="6" t="s">
        <v>2</v>
      </c>
      <c r="D10" s="5"/>
      <c r="E10" s="5"/>
      <c r="F10" s="5"/>
    </row>
    <row r="11" ht="12" customHeight="1" spans="1:7">
      <c r="A11" s="13" t="s">
        <v>187</v>
      </c>
      <c r="B11" s="14"/>
      <c r="C11" s="9" t="s">
        <v>188</v>
      </c>
      <c r="D11" s="7"/>
      <c r="E11" s="7"/>
      <c r="F11" s="7"/>
    </row>
    <row r="12" customHeight="1" spans="1:7">
      <c r="A12" s="13" t="s">
        <v>189</v>
      </c>
      <c r="B12" s="14"/>
      <c r="C12" s="6" t="s">
        <v>5</v>
      </c>
      <c r="D12" s="5"/>
      <c r="E12" s="5"/>
      <c r="F12" s="60"/>
    </row>
    <row r="13" ht="15" customHeight="1" spans="1:7">
      <c r="A13" s="7"/>
      <c r="B13" s="8"/>
      <c r="C13" s="9"/>
      <c r="D13" s="7"/>
      <c r="E13" s="7"/>
      <c r="F13" s="7"/>
    </row>
    <row r="14" ht="15" customHeight="1" spans="1:7">
      <c r="A14" s="5" t="s">
        <v>7</v>
      </c>
      <c r="B14" s="10"/>
      <c r="C14" s="6" t="s">
        <v>54</v>
      </c>
      <c r="D14" s="60"/>
      <c r="E14" s="60"/>
      <c r="F14" s="60"/>
    </row>
    <row r="15" ht="14.25" customHeight="1" spans="1:7">
      <c r="A15" s="13" t="s">
        <v>190</v>
      </c>
      <c r="B15" s="14"/>
      <c r="C15" s="58" t="s">
        <v>191</v>
      </c>
      <c r="D15" s="59"/>
      <c r="E15" s="59"/>
      <c r="F15" s="59"/>
    </row>
    <row r="16" ht="14.25" customHeight="1" spans="1:7">
      <c r="A16" s="13" t="s">
        <v>192</v>
      </c>
      <c r="B16" s="14"/>
      <c r="C16" s="238" t="s">
        <v>12</v>
      </c>
      <c r="D16" s="239"/>
      <c r="E16" s="239"/>
      <c r="F16" s="239"/>
    </row>
    <row r="17" ht="14.25" customHeight="1" spans="1:6">
      <c r="A17" s="7"/>
      <c r="B17" s="8"/>
      <c r="C17" s="63" t="s">
        <v>14</v>
      </c>
      <c r="D17" s="13"/>
      <c r="E17" s="13"/>
      <c r="F17" s="13"/>
    </row>
    <row r="18" ht="19.5" customHeight="1" spans="1:6">
      <c r="A18" s="5" t="s">
        <v>15</v>
      </c>
      <c r="B18" s="10"/>
      <c r="C18" s="241"/>
      <c r="D18" s="242"/>
      <c r="E18" s="242"/>
      <c r="F18" s="242"/>
    </row>
    <row r="19" ht="14.25" customHeight="1" spans="1:6">
      <c r="A19" s="13" t="s">
        <v>16</v>
      </c>
      <c r="B19" s="14"/>
      <c r="C19" s="241"/>
      <c r="D19" s="242"/>
      <c r="E19" s="242"/>
      <c r="F19" s="242"/>
    </row>
    <row r="20" ht="14.25" customHeight="1" spans="1:6">
      <c r="A20" s="7"/>
      <c r="B20" s="8"/>
      <c r="C20" s="241"/>
      <c r="D20" s="242"/>
      <c r="E20" s="242"/>
      <c r="F20" s="56"/>
    </row>
    <row r="21" spans="1:6">
      <c r="A21" s="10" t="s">
        <v>17</v>
      </c>
      <c r="B21" s="18" t="s">
        <v>18</v>
      </c>
      <c r="C21" s="243"/>
      <c r="D21" s="244"/>
      <c r="E21" s="244"/>
      <c r="F21" s="244"/>
    </row>
    <row r="22" ht="13.15" customHeight="1" spans="1:6">
      <c r="A22" s="19" t="s">
        <v>193</v>
      </c>
      <c r="B22" s="20" t="s">
        <v>194</v>
      </c>
      <c r="C22" s="241"/>
      <c r="D22" s="242"/>
      <c r="E22" s="242"/>
      <c r="F22" s="56"/>
    </row>
    <row r="23" ht="16.5" customHeight="1" spans="1:6">
      <c r="A23" s="10" t="s">
        <v>21</v>
      </c>
      <c r="B23" s="18" t="s">
        <v>22</v>
      </c>
      <c r="C23" s="245"/>
      <c r="D23" s="56"/>
      <c r="E23" s="56"/>
      <c r="F23" s="56"/>
    </row>
    <row r="24" spans="1:6">
      <c r="A24" s="21" t="s">
        <v>195</v>
      </c>
      <c r="B24" s="22" t="s">
        <v>196</v>
      </c>
      <c r="C24" s="246"/>
      <c r="D24" s="247"/>
      <c r="E24" s="247"/>
      <c r="F24" s="247"/>
    </row>
    <row r="25" ht="20.25" spans="1:6">
      <c r="A25" s="23" t="s">
        <v>24</v>
      </c>
      <c r="B25" s="24" t="s">
        <v>25</v>
      </c>
      <c r="C25" s="25" t="s">
        <v>26</v>
      </c>
      <c r="D25" s="248" t="s">
        <v>27</v>
      </c>
      <c r="E25" s="23"/>
      <c r="F25" s="28" t="s">
        <v>28</v>
      </c>
    </row>
    <row r="26" ht="12" customHeight="1" spans="1:6">
      <c r="A26" s="29"/>
      <c r="B26" s="36"/>
      <c r="C26" s="36" t="s">
        <v>197</v>
      </c>
      <c r="D26" s="64" t="s">
        <v>198</v>
      </c>
      <c r="E26" s="64"/>
      <c r="F26" s="64" t="s">
        <v>199</v>
      </c>
    </row>
    <row r="27" ht="6" customHeight="1" spans="1:6">
      <c r="A27" s="29"/>
      <c r="B27" s="29"/>
      <c r="C27" s="29"/>
      <c r="D27" s="29"/>
      <c r="E27" s="29"/>
      <c r="F27" s="29"/>
    </row>
    <row r="28" ht="11.25" customHeight="1" spans="1:6">
      <c r="A28" s="29" t="s">
        <v>32</v>
      </c>
      <c r="B28" s="29"/>
      <c r="C28" s="29"/>
      <c r="D28" s="30" t="s">
        <v>200</v>
      </c>
      <c r="E28" s="30"/>
      <c r="F28" s="30"/>
    </row>
    <row r="29" ht="47.25" customHeight="1" spans="1:6">
      <c r="A29" s="35"/>
      <c r="B29" s="30" t="s">
        <v>201</v>
      </c>
      <c r="C29" s="31">
        <v>1</v>
      </c>
      <c r="D29" s="316">
        <v>810972</v>
      </c>
      <c r="E29" s="316"/>
      <c r="F29" s="316">
        <f>C29*D29</f>
        <v>810972</v>
      </c>
    </row>
    <row r="30" ht="46.5" customHeight="1" spans="1:6">
      <c r="A30" s="35"/>
      <c r="B30" s="30" t="s">
        <v>202</v>
      </c>
      <c r="C30" s="31">
        <v>1</v>
      </c>
      <c r="D30" s="316">
        <v>810972</v>
      </c>
      <c r="E30" s="316"/>
      <c r="F30" s="316">
        <f>C30*D30</f>
        <v>810972</v>
      </c>
    </row>
    <row r="31" ht="15" customHeight="1" spans="1:6">
      <c r="A31" s="34"/>
      <c r="B31" s="34"/>
      <c r="C31" s="31"/>
      <c r="D31" s="52"/>
      <c r="E31" s="52"/>
      <c r="F31" s="31"/>
    </row>
    <row r="32" ht="15" customHeight="1" spans="1:6">
      <c r="A32" s="30"/>
      <c r="B32" s="30"/>
      <c r="C32" s="36"/>
      <c r="D32" s="35"/>
      <c r="E32" s="35"/>
      <c r="F32" s="35"/>
    </row>
    <row r="33" ht="15" customHeight="1" spans="1:8">
      <c r="A33" s="37"/>
      <c r="B33" s="37"/>
      <c r="C33" s="37"/>
      <c r="D33" s="38"/>
      <c r="E33" s="38"/>
      <c r="F33" s="38"/>
    </row>
    <row r="34" ht="15" customHeight="1" spans="1:8">
      <c r="A34" s="35"/>
      <c r="B34" s="36" t="s">
        <v>36</v>
      </c>
      <c r="C34" s="36">
        <f>SUM(C29:C33)</f>
        <v>2</v>
      </c>
      <c r="D34" s="36"/>
      <c r="E34" s="36"/>
      <c r="F34" s="317">
        <f>SUM(F29:F33)</f>
        <v>1621944</v>
      </c>
    </row>
    <row r="35" ht="15" customHeight="1" spans="1:8">
      <c r="A35" s="35"/>
      <c r="B35" s="36"/>
      <c r="C35" s="36"/>
      <c r="D35" s="36"/>
      <c r="E35" s="36"/>
      <c r="F35" s="251"/>
    </row>
    <row r="36" spans="1:8">
      <c r="A36" s="67"/>
      <c r="B36" s="56"/>
      <c r="C36" s="56"/>
      <c r="D36" s="56"/>
      <c r="E36" s="254"/>
      <c r="F36" s="237"/>
    </row>
    <row r="37" ht="16.9" customHeight="1" spans="1:8">
      <c r="A37" s="318"/>
      <c r="B37" s="237"/>
      <c r="C37" s="319" t="s">
        <v>203</v>
      </c>
      <c r="D37" s="319"/>
      <c r="E37" s="319"/>
      <c r="F37" s="319"/>
      <c r="G37" s="319"/>
      <c r="H37" s="319"/>
    </row>
    <row r="38" spans="1:8">
      <c r="A38" s="237"/>
      <c r="B38" s="237"/>
      <c r="D38" s="237"/>
      <c r="F38" s="237"/>
    </row>
    <row r="39" spans="1:8">
      <c r="A39" s="237"/>
      <c r="B39" s="237"/>
      <c r="D39" s="237"/>
      <c r="F39" s="237"/>
    </row>
    <row r="40" spans="1:8">
      <c r="A40" s="55"/>
      <c r="B40" s="237"/>
      <c r="C40" s="55" t="s">
        <v>47</v>
      </c>
      <c r="F40" s="237"/>
    </row>
    <row r="41" spans="1:8">
      <c r="A41" s="255"/>
      <c r="B41" s="256"/>
      <c r="C41" s="254"/>
      <c r="D41" s="254"/>
      <c r="E41" s="237"/>
      <c r="F41" s="237"/>
    </row>
    <row r="42" spans="1:8">
      <c r="A42" s="257"/>
      <c r="B42" s="258"/>
    </row>
    <row r="43" spans="1:8">
      <c r="A43" s="258"/>
      <c r="B43" s="258"/>
    </row>
  </sheetData>
  <mergeCells count="27">
    <mergeCell ref="A10:B10"/>
    <mergeCell ref="C10:F10"/>
    <mergeCell ref="A11:B11"/>
    <mergeCell ref="C11:F11"/>
    <mergeCell ref="A12:B12"/>
    <mergeCell ref="A13:B13"/>
    <mergeCell ref="C13:F13"/>
    <mergeCell ref="C14:F14"/>
    <mergeCell ref="A15:B15"/>
    <mergeCell ref="C15:F15"/>
    <mergeCell ref="A16:B16"/>
    <mergeCell ref="A17:B17"/>
    <mergeCell ref="C17:F17"/>
    <mergeCell ref="A18:B18"/>
    <mergeCell ref="A19:B19"/>
    <mergeCell ref="A20:B20"/>
    <mergeCell ref="C21:F21"/>
    <mergeCell ref="D25:E25"/>
    <mergeCell ref="D26:E26"/>
    <mergeCell ref="A27:F27"/>
    <mergeCell ref="D28:F28"/>
    <mergeCell ref="D29:E29"/>
    <mergeCell ref="D30:E30"/>
    <mergeCell ref="A32:B32"/>
    <mergeCell ref="A33:B33"/>
    <mergeCell ref="C37:H37"/>
    <mergeCell ref="A2:F9"/>
  </mergeCells>
  <pageMargins left="0.47244094488189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39"/>
  <sheetViews>
    <sheetView zoomScale="106" zoomScaleNormal="106" workbookViewId="0">
      <selection activeCell="A23" sqref="A12:H23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3.94166666666667" style="1" customWidth="1"/>
    <col min="6" max="6" width="8.56666666666667" style="1" customWidth="1"/>
    <col min="7" max="7" width="3.441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204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311" t="s">
        <v>187</v>
      </c>
      <c r="B11" s="287"/>
      <c r="C11" s="11" t="s">
        <v>188</v>
      </c>
      <c r="D11" s="12"/>
      <c r="E11" s="12"/>
      <c r="F11" s="12"/>
      <c r="G11" s="12"/>
      <c r="H11" s="12"/>
      <c r="I11" s="7"/>
    </row>
    <row r="12" customFormat="1" ht="14.25" customHeight="1" spans="1:10">
      <c r="A12" s="60" t="s">
        <v>189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5"/>
      <c r="B13" s="10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190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3" t="s">
        <v>192</v>
      </c>
      <c r="B15" s="14"/>
      <c r="C15" s="9"/>
      <c r="D15" s="16"/>
      <c r="E15" s="16"/>
      <c r="F15" s="16"/>
      <c r="G15" s="16"/>
      <c r="H15" s="16"/>
      <c r="I15" s="16"/>
    </row>
    <row r="16" customFormat="1" ht="16.5" customHeight="1" spans="1:10">
      <c r="A16" s="7"/>
      <c r="B16" s="8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7"/>
      <c r="B19" s="8"/>
      <c r="C19" s="15"/>
      <c r="D19" s="16"/>
      <c r="E19" s="16"/>
      <c r="F19" s="16"/>
      <c r="G19" s="16"/>
      <c r="H19" s="16"/>
      <c r="I19" s="16"/>
    </row>
    <row r="20" customFormat="1" ht="12" customHeight="1" spans="1:10">
      <c r="A20" s="10" t="s">
        <v>17</v>
      </c>
      <c r="B20" s="18" t="s">
        <v>18</v>
      </c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9" t="s">
        <v>193</v>
      </c>
      <c r="B21" s="20" t="s">
        <v>194</v>
      </c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0" t="s">
        <v>21</v>
      </c>
      <c r="B22" s="18" t="s">
        <v>22</v>
      </c>
      <c r="C22" s="15"/>
      <c r="D22" s="16"/>
      <c r="E22" s="16"/>
      <c r="F22" s="16"/>
      <c r="G22" s="16"/>
      <c r="H22" s="16"/>
      <c r="I22" s="16"/>
    </row>
    <row r="23" customFormat="1" ht="16.5" customHeight="1" spans="1:10">
      <c r="A23" s="21" t="s">
        <v>195</v>
      </c>
      <c r="B23" s="22" t="s">
        <v>196</v>
      </c>
      <c r="C23" s="15"/>
      <c r="D23" s="16"/>
      <c r="E23" s="16"/>
      <c r="F23" s="16"/>
      <c r="G23" s="16"/>
      <c r="H23" s="16"/>
      <c r="I23" s="16"/>
    </row>
    <row r="24" customFormat="1" ht="20.25" customHeight="1" spans="1:10">
      <c r="A24" s="23" t="s">
        <v>24</v>
      </c>
      <c r="B24" s="24" t="s">
        <v>25</v>
      </c>
      <c r="C24" s="25" t="s">
        <v>71</v>
      </c>
      <c r="D24" s="27" t="s">
        <v>72</v>
      </c>
      <c r="E24" s="201"/>
      <c r="F24" s="27" t="s">
        <v>73</v>
      </c>
      <c r="G24" s="201"/>
      <c r="H24" s="28" t="s">
        <v>103</v>
      </c>
      <c r="I24" s="202"/>
    </row>
    <row r="25" spans="1:10">
      <c r="A25" s="29"/>
      <c r="B25" s="29"/>
      <c r="C25" s="29"/>
      <c r="D25" s="29"/>
      <c r="E25" s="29"/>
      <c r="F25" s="29"/>
      <c r="G25" s="29"/>
      <c r="H25" s="29"/>
      <c r="I25" s="29"/>
      <c r="J25" s="29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ht="54" customHeight="1" spans="1:10">
      <c r="A27"/>
      <c r="B27" s="30" t="s">
        <v>201</v>
      </c>
      <c r="C27" s="31">
        <v>1</v>
      </c>
      <c r="D27" s="32">
        <v>2340</v>
      </c>
      <c r="E27" s="32"/>
      <c r="F27" s="32">
        <v>2340</v>
      </c>
      <c r="G27" s="32"/>
      <c r="H27" s="33"/>
      <c r="I27" s="33"/>
      <c r="J27" s="31"/>
    </row>
    <row r="28" ht="54.75" customHeight="1" spans="1:10">
      <c r="A28" s="35" t="s">
        <v>32</v>
      </c>
      <c r="B28" s="30" t="s">
        <v>202</v>
      </c>
      <c r="C28" s="31">
        <v>1</v>
      </c>
      <c r="D28" s="32">
        <v>2340</v>
      </c>
      <c r="E28" s="32"/>
      <c r="F28" s="32">
        <v>2340</v>
      </c>
      <c r="G28" s="32"/>
      <c r="H28" s="33"/>
      <c r="I28" s="33"/>
      <c r="J28" s="31"/>
    </row>
    <row r="29" spans="1:10">
      <c r="A29" s="34"/>
      <c r="B29" s="136"/>
      <c r="C29" s="36"/>
      <c r="D29" s="312">
        <v>810972</v>
      </c>
      <c r="E29" s="313"/>
      <c r="F29" s="313">
        <f>C29*D29</f>
        <v>0</v>
      </c>
      <c r="G29" s="35"/>
      <c r="H29" s="35"/>
      <c r="I29" s="35"/>
      <c r="J29" s="35"/>
    </row>
    <row r="30" s="67" customFormat="1" ht="19.5" customHeight="1" spans="1:10">
      <c r="A30" s="34"/>
      <c r="B30" s="35"/>
      <c r="C30" s="35"/>
      <c r="D30" s="312">
        <v>810972</v>
      </c>
      <c r="E30" s="313"/>
      <c r="F30" s="313"/>
      <c r="G30" s="35"/>
      <c r="H30" s="35"/>
      <c r="I30" s="35"/>
      <c r="J30" s="35"/>
    </row>
    <row r="31" s="67" customFormat="1" ht="12" customHeight="1" spans="1:10">
      <c r="A31" s="35"/>
      <c r="B31" s="204"/>
      <c r="C31" s="205"/>
      <c r="D31" s="206"/>
      <c r="E31" s="206"/>
      <c r="F31" s="206"/>
      <c r="G31" s="206"/>
      <c r="H31" s="207"/>
      <c r="I31" s="34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04"/>
      <c r="C33" s="205"/>
      <c r="D33" s="206"/>
      <c r="E33" s="206"/>
      <c r="F33" s="206"/>
      <c r="G33" s="206"/>
      <c r="H33" s="207"/>
      <c r="I33" s="34"/>
      <c r="J33" s="35"/>
    </row>
    <row r="34" ht="12.35" spans="1:10">
      <c r="A34" s="37"/>
      <c r="B34" s="37"/>
      <c r="C34" s="37"/>
      <c r="D34" s="38"/>
      <c r="E34" s="38"/>
      <c r="F34" s="38"/>
      <c r="G34" s="39"/>
      <c r="H34" s="34"/>
      <c r="I34" s="34"/>
      <c r="J34" s="39"/>
    </row>
    <row r="35" s="128" customFormat="1" ht="12.35" spans="1:10">
      <c r="A35" s="34"/>
      <c r="B35" s="34" t="s">
        <v>36</v>
      </c>
      <c r="C35" s="34" t="s">
        <v>205</v>
      </c>
      <c r="D35" s="132">
        <f>SUM(D27:E34)</f>
        <v>1626624</v>
      </c>
      <c r="E35" s="132" t="s">
        <v>206</v>
      </c>
      <c r="F35" s="314">
        <f>SUM(F27:G34)</f>
        <v>4680</v>
      </c>
      <c r="G35" s="209" t="s">
        <v>206</v>
      </c>
      <c r="H35" s="210" t="s">
        <v>207</v>
      </c>
      <c r="I35" s="133"/>
      <c r="J35" s="34"/>
    </row>
    <row r="36" ht="21.75" customHeight="1" spans="1:10">
      <c r="D36" s="211"/>
      <c r="E36" s="211"/>
      <c r="F36" s="211"/>
      <c r="G36" s="211"/>
    </row>
    <row r="37" ht="16.9" customHeight="1" spans="1:10">
      <c r="C37" s="315" t="s">
        <v>203</v>
      </c>
      <c r="D37" s="315"/>
      <c r="E37" s="315"/>
      <c r="F37" s="315"/>
      <c r="G37" s="315"/>
      <c r="H37" s="315"/>
      <c r="I37" s="212"/>
      <c r="J37" s="212"/>
    </row>
    <row r="39" spans="1:10">
      <c r="D39" s="43" t="s">
        <v>83</v>
      </c>
      <c r="E39" s="43"/>
      <c r="F39" s="43"/>
      <c r="G39" s="43"/>
      <c r="H39" s="211"/>
      <c r="I39" s="211"/>
    </row>
  </sheetData>
  <mergeCells count="33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4:B14"/>
    <mergeCell ref="A15:B15"/>
    <mergeCell ref="A16:B16"/>
    <mergeCell ref="A17:B17"/>
    <mergeCell ref="A18:B18"/>
    <mergeCell ref="A19:B19"/>
    <mergeCell ref="D24:E24"/>
    <mergeCell ref="F24:G24"/>
    <mergeCell ref="A25:J25"/>
    <mergeCell ref="D27:E27"/>
    <mergeCell ref="F27:G27"/>
    <mergeCell ref="D28:E28"/>
    <mergeCell ref="F28:G28"/>
    <mergeCell ref="D31:E31"/>
    <mergeCell ref="F31:G31"/>
    <mergeCell ref="D32:E32"/>
    <mergeCell ref="F32:G32"/>
    <mergeCell ref="D33:E33"/>
    <mergeCell ref="F33:G33"/>
    <mergeCell ref="A34:B34"/>
    <mergeCell ref="C37:H37"/>
    <mergeCell ref="C12:H23"/>
    <mergeCell ref="A2:H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opLeftCell="A21" workbookViewId="0">
      <selection activeCell="F36" sqref="F36"/>
    </sheetView>
  </sheetViews>
  <sheetFormatPr defaultColWidth="9" defaultRowHeight="15.75"/>
  <cols>
    <col min="1" max="1" width="18.9416666666667" customWidth="1"/>
    <col min="2" max="2" width="21.9416666666667" customWidth="1"/>
    <col min="3" max="3" width="13.75" customWidth="1"/>
    <col min="4" max="4" width="6.75" customWidth="1"/>
    <col min="5" max="5" width="7.625" customWidth="1"/>
    <col min="6" max="6" width="15.5" customWidth="1"/>
    <col min="10" max="10" width="9.5" customWidth="1"/>
  </cols>
  <sheetData>
    <row r="1" ht="52.9" customHeight="1"/>
    <row r="2" ht="51.4" customHeight="1" spans="1:7">
      <c r="A2" s="2"/>
      <c r="B2" s="2"/>
      <c r="C2" s="2"/>
      <c r="D2" s="2"/>
      <c r="E2" s="2"/>
      <c r="F2" s="2"/>
      <c r="G2" s="56"/>
    </row>
    <row r="3" spans="1:7">
      <c r="A3" s="2"/>
      <c r="B3" s="2"/>
      <c r="C3" s="2"/>
      <c r="D3" s="2"/>
      <c r="E3" s="2"/>
      <c r="F3" s="2"/>
      <c r="G3" s="56"/>
    </row>
    <row r="4" ht="9.75" customHeight="1" spans="1:7">
      <c r="A4" s="2"/>
      <c r="B4" s="2"/>
      <c r="C4" s="2"/>
      <c r="D4" s="2"/>
      <c r="E4" s="2"/>
      <c r="F4" s="2"/>
      <c r="G4" s="56"/>
    </row>
    <row r="5" hidden="1" spans="1:7">
      <c r="A5" s="2"/>
      <c r="B5" s="2"/>
      <c r="C5" s="2"/>
      <c r="D5" s="2"/>
      <c r="E5" s="2"/>
      <c r="F5" s="2"/>
      <c r="G5" s="57"/>
    </row>
    <row r="6" ht="2.25" customHeight="1" spans="1:7">
      <c r="A6" s="2"/>
      <c r="B6" s="2"/>
      <c r="C6" s="2"/>
      <c r="D6" s="2"/>
      <c r="E6" s="2"/>
      <c r="F6" s="2"/>
    </row>
    <row r="7" ht="13.5" hidden="1" customHeight="1" spans="1:7">
      <c r="A7" s="2"/>
      <c r="B7" s="2"/>
      <c r="C7" s="2"/>
      <c r="D7" s="2"/>
      <c r="E7" s="2"/>
      <c r="F7" s="2"/>
    </row>
    <row r="8" ht="17.25" hidden="1" customHeight="1" spans="1:7">
      <c r="A8" s="2"/>
      <c r="B8" s="2"/>
      <c r="C8" s="2"/>
      <c r="D8" s="2"/>
      <c r="E8" s="2"/>
      <c r="F8" s="2"/>
    </row>
    <row r="9" ht="6.75" customHeight="1" spans="1:7">
      <c r="A9" s="237"/>
      <c r="B9" s="237"/>
      <c r="C9" s="237"/>
      <c r="D9" s="237"/>
      <c r="E9" s="237"/>
      <c r="F9" s="237"/>
    </row>
    <row r="10" ht="15" customHeight="1" spans="1:7">
      <c r="A10" s="5" t="s">
        <v>1</v>
      </c>
      <c r="B10" s="5"/>
      <c r="C10" s="6" t="s">
        <v>2</v>
      </c>
      <c r="D10" s="5"/>
      <c r="E10" s="5"/>
      <c r="F10" s="5"/>
    </row>
    <row r="11" ht="12" customHeight="1" spans="1:7">
      <c r="A11" s="13" t="s">
        <v>3</v>
      </c>
      <c r="B11" s="14"/>
      <c r="C11" s="9"/>
      <c r="D11" s="7"/>
      <c r="E11" s="7"/>
      <c r="F11" s="7"/>
    </row>
    <row r="12" customHeight="1" spans="1:7">
      <c r="A12" s="13" t="s">
        <v>4</v>
      </c>
      <c r="B12" s="14"/>
      <c r="C12" s="6" t="s">
        <v>5</v>
      </c>
      <c r="D12" s="5"/>
      <c r="E12" s="5"/>
      <c r="F12" s="60"/>
    </row>
    <row r="13" ht="15" customHeight="1" spans="1:7">
      <c r="A13" s="7" t="s">
        <v>6</v>
      </c>
      <c r="B13" s="8"/>
      <c r="C13" s="9"/>
      <c r="D13" s="7"/>
      <c r="E13" s="7"/>
      <c r="F13" s="7"/>
    </row>
    <row r="14" ht="15" customHeight="1" spans="1:7">
      <c r="A14" s="5" t="s">
        <v>7</v>
      </c>
      <c r="B14" s="10"/>
      <c r="C14" s="6" t="s">
        <v>54</v>
      </c>
      <c r="D14" s="60"/>
      <c r="E14" s="60"/>
      <c r="F14" s="60"/>
    </row>
    <row r="15" ht="14.25" customHeight="1" spans="1:7">
      <c r="A15" s="13" t="s">
        <v>9</v>
      </c>
      <c r="B15" s="14"/>
      <c r="C15" s="58" t="s">
        <v>208</v>
      </c>
      <c r="D15" s="59"/>
      <c r="E15" s="59"/>
      <c r="F15" s="59"/>
    </row>
    <row r="16" ht="14.25" customHeight="1" spans="1:7">
      <c r="A16" s="13" t="s">
        <v>11</v>
      </c>
      <c r="B16" s="14"/>
      <c r="C16" s="238" t="s">
        <v>12</v>
      </c>
      <c r="D16" s="239"/>
      <c r="E16" s="239"/>
      <c r="F16" s="239"/>
    </row>
    <row r="17" ht="14.25" customHeight="1" spans="1:6">
      <c r="A17" s="7" t="s">
        <v>13</v>
      </c>
      <c r="B17" s="8"/>
      <c r="C17" s="63" t="s">
        <v>14</v>
      </c>
      <c r="D17" s="13"/>
      <c r="E17" s="13"/>
      <c r="F17" s="13"/>
    </row>
    <row r="18" ht="14.25" customHeight="1" spans="1:6">
      <c r="A18" s="12"/>
      <c r="B18" s="17"/>
      <c r="C18" s="240"/>
      <c r="D18" s="56"/>
      <c r="E18" s="56"/>
      <c r="F18" s="56"/>
    </row>
    <row r="19" ht="19.5" customHeight="1" spans="1:6">
      <c r="A19" s="5" t="s">
        <v>15</v>
      </c>
      <c r="B19" s="10"/>
      <c r="C19" s="241"/>
      <c r="D19" s="242"/>
      <c r="E19" s="242"/>
      <c r="F19" s="242"/>
    </row>
    <row r="20" ht="14.25" customHeight="1" spans="1:6">
      <c r="A20" s="13" t="s">
        <v>16</v>
      </c>
      <c r="B20" s="14"/>
      <c r="C20" s="241"/>
      <c r="D20" s="242"/>
      <c r="E20" s="242"/>
      <c r="F20" s="242"/>
    </row>
    <row r="21" ht="14.25" customHeight="1" spans="1:6">
      <c r="A21" s="13"/>
      <c r="B21" s="14"/>
      <c r="C21" s="241"/>
      <c r="D21" s="242"/>
      <c r="E21" s="242"/>
      <c r="F21" s="242"/>
    </row>
    <row r="22" ht="14.25" customHeight="1" spans="1:6">
      <c r="A22" s="7"/>
      <c r="B22" s="8"/>
      <c r="C22" s="241"/>
      <c r="D22" s="242"/>
      <c r="E22" s="242"/>
      <c r="F22" s="56"/>
    </row>
    <row r="23" spans="1:6">
      <c r="A23" s="10" t="s">
        <v>17</v>
      </c>
      <c r="B23" s="18" t="s">
        <v>18</v>
      </c>
      <c r="C23" s="243"/>
      <c r="D23" s="244"/>
      <c r="E23" s="244"/>
      <c r="F23" s="244"/>
    </row>
    <row r="24" ht="13.15" customHeight="1" spans="1:6">
      <c r="A24" s="19" t="s">
        <v>19</v>
      </c>
      <c r="B24" s="20" t="s">
        <v>20</v>
      </c>
      <c r="C24" s="241"/>
      <c r="D24" s="242"/>
      <c r="E24" s="242"/>
      <c r="F24" s="56"/>
    </row>
    <row r="25" ht="16.5" customHeight="1" spans="1:6">
      <c r="A25" s="10" t="s">
        <v>21</v>
      </c>
      <c r="B25" s="18" t="s">
        <v>22</v>
      </c>
      <c r="C25" s="245"/>
      <c r="D25" s="56"/>
      <c r="E25" s="56"/>
      <c r="F25" s="56"/>
    </row>
    <row r="26" spans="1:6">
      <c r="A26" s="21"/>
      <c r="B26" s="22" t="s">
        <v>209</v>
      </c>
      <c r="C26" s="246"/>
      <c r="D26" s="247"/>
      <c r="E26" s="247"/>
      <c r="F26" s="247"/>
    </row>
    <row r="27" spans="1:6">
      <c r="A27" s="23" t="s">
        <v>24</v>
      </c>
      <c r="B27" s="24" t="s">
        <v>25</v>
      </c>
      <c r="C27" s="25" t="s">
        <v>26</v>
      </c>
      <c r="D27" s="248" t="s">
        <v>27</v>
      </c>
      <c r="E27" s="23"/>
      <c r="F27" s="28" t="s">
        <v>28</v>
      </c>
    </row>
    <row r="28" ht="12" customHeight="1" spans="1:6">
      <c r="A28" s="29"/>
      <c r="B28" s="36"/>
      <c r="C28" s="36" t="s">
        <v>29</v>
      </c>
      <c r="D28" s="36" t="s">
        <v>30</v>
      </c>
      <c r="E28" s="36"/>
      <c r="F28" s="64" t="s">
        <v>31</v>
      </c>
    </row>
    <row r="29" ht="6" customHeight="1" spans="1:6">
      <c r="A29" s="29"/>
      <c r="B29" s="29"/>
      <c r="C29" s="29"/>
      <c r="D29" s="29"/>
      <c r="E29" s="29"/>
      <c r="F29" s="29"/>
    </row>
    <row r="30" ht="11.25" customHeight="1" spans="1:6">
      <c r="A30" s="29" t="s">
        <v>32</v>
      </c>
      <c r="B30" s="29"/>
      <c r="C30" s="29"/>
      <c r="D30" s="30" t="s">
        <v>33</v>
      </c>
      <c r="E30" s="30"/>
      <c r="F30" s="30"/>
    </row>
    <row r="31" ht="13.9" customHeight="1" spans="1:6">
      <c r="A31" s="34" t="s">
        <v>210</v>
      </c>
      <c r="B31" s="34"/>
      <c r="C31" s="31">
        <v>9.6</v>
      </c>
      <c r="D31" s="300">
        <v>1420</v>
      </c>
      <c r="E31" s="300"/>
      <c r="F31" s="300">
        <f>C31*D31</f>
        <v>13632</v>
      </c>
    </row>
    <row r="32" ht="15" customHeight="1" spans="1:6">
      <c r="A32" s="34"/>
      <c r="B32" s="34" t="s">
        <v>211</v>
      </c>
      <c r="C32" s="31">
        <v>2.4</v>
      </c>
      <c r="D32" s="301">
        <v>1385</v>
      </c>
      <c r="E32" s="301"/>
      <c r="F32" s="300">
        <f>C32*D32</f>
        <v>3324</v>
      </c>
    </row>
    <row r="33" ht="15" customHeight="1" spans="1:9">
      <c r="A33" s="30" t="s">
        <v>35</v>
      </c>
      <c r="B33" s="30"/>
      <c r="C33" s="36"/>
      <c r="D33" s="35"/>
      <c r="E33" s="35"/>
      <c r="F33" s="302"/>
    </row>
    <row r="34" ht="15" customHeight="1" spans="1:9">
      <c r="A34" s="37"/>
      <c r="B34" s="37"/>
      <c r="C34" s="37"/>
      <c r="D34" s="38"/>
      <c r="E34" s="38"/>
      <c r="F34" s="303"/>
    </row>
    <row r="35" ht="15" customHeight="1" spans="1:9">
      <c r="A35" s="35"/>
      <c r="B35" s="36" t="s">
        <v>36</v>
      </c>
      <c r="C35" s="36" t="s">
        <v>212</v>
      </c>
      <c r="D35" s="36"/>
      <c r="E35" s="36"/>
      <c r="F35" s="304">
        <f>SUM(F31:F34)</f>
        <v>16956</v>
      </c>
    </row>
    <row r="36" ht="15" customHeight="1" spans="1:9">
      <c r="A36" s="35"/>
      <c r="B36" s="36"/>
      <c r="C36" s="36"/>
      <c r="D36" s="36"/>
      <c r="E36" s="36"/>
      <c r="F36" s="251"/>
    </row>
    <row r="37" spans="1:9">
      <c r="A37" s="39" t="s">
        <v>38</v>
      </c>
      <c r="B37" s="56"/>
      <c r="C37" s="56"/>
      <c r="D37" s="56"/>
      <c r="E37" s="305"/>
      <c r="F37" s="237"/>
    </row>
    <row r="38" spans="1:9">
      <c r="A38" s="306" t="s">
        <v>39</v>
      </c>
      <c r="B38" s="56"/>
      <c r="C38" s="56"/>
      <c r="D38" s="56"/>
      <c r="E38" s="305"/>
      <c r="F38" s="237"/>
    </row>
    <row r="39" spans="1:9">
      <c r="A39" s="306" t="s">
        <v>40</v>
      </c>
      <c r="B39" s="56"/>
      <c r="C39" s="56"/>
      <c r="D39" s="56"/>
      <c r="E39" s="305"/>
      <c r="F39" s="237"/>
    </row>
    <row r="40" spans="1:9">
      <c r="A40" s="306" t="s">
        <v>41</v>
      </c>
      <c r="B40" s="56"/>
      <c r="C40" s="56"/>
      <c r="D40" s="56"/>
      <c r="E40" s="305"/>
      <c r="F40" s="237"/>
      <c r="I40" s="55"/>
    </row>
    <row r="41" spans="1:9">
      <c r="A41" s="306" t="s">
        <v>42</v>
      </c>
      <c r="B41" s="56"/>
      <c r="C41" s="56"/>
      <c r="D41" s="56"/>
      <c r="E41" s="305"/>
      <c r="F41" s="237"/>
      <c r="H41" s="55"/>
      <c r="I41" s="55"/>
    </row>
    <row r="42" spans="1:9">
      <c r="A42" s="307" t="s">
        <v>43</v>
      </c>
      <c r="B42" s="253"/>
      <c r="C42" s="253"/>
      <c r="D42" s="253"/>
      <c r="E42" s="305"/>
      <c r="F42" s="237"/>
      <c r="H42" s="55"/>
      <c r="I42" s="55"/>
    </row>
    <row r="43" spans="1:9">
      <c r="A43" s="306" t="s">
        <v>44</v>
      </c>
      <c r="B43" s="56"/>
      <c r="C43" s="56"/>
      <c r="D43" s="56"/>
      <c r="E43" s="308"/>
      <c r="F43" s="237"/>
    </row>
    <row r="44" spans="1:9">
      <c r="A44" s="306"/>
      <c r="B44" s="56"/>
      <c r="C44" s="56"/>
      <c r="D44" s="56"/>
      <c r="E44" s="308"/>
      <c r="F44" s="237"/>
    </row>
    <row r="45" spans="1:9">
      <c r="A45" s="309" t="s">
        <v>45</v>
      </c>
      <c r="B45" s="305"/>
      <c r="C45" s="310"/>
      <c r="D45" s="305" t="s">
        <v>46</v>
      </c>
      <c r="E45" s="310"/>
      <c r="F45" s="237"/>
    </row>
    <row r="46" spans="1:9">
      <c r="A46" s="305"/>
      <c r="B46" s="305"/>
      <c r="C46" s="310"/>
      <c r="D46" s="305"/>
      <c r="E46" s="310"/>
      <c r="F46" s="237"/>
    </row>
    <row r="47" spans="1:9">
      <c r="A47" s="237"/>
      <c r="B47" s="237"/>
      <c r="D47" s="237"/>
      <c r="F47" s="237"/>
    </row>
    <row r="48" spans="1:9">
      <c r="A48" s="55" t="s">
        <v>47</v>
      </c>
      <c r="B48" s="237"/>
      <c r="D48" s="55" t="s">
        <v>47</v>
      </c>
      <c r="F48" s="237"/>
    </row>
    <row r="49" spans="1:6">
      <c r="A49" s="255"/>
      <c r="B49" s="256"/>
      <c r="C49" s="254"/>
      <c r="D49" s="254"/>
      <c r="E49" s="237"/>
      <c r="F49" s="237"/>
    </row>
    <row r="50" spans="1:6">
      <c r="A50" s="257"/>
      <c r="B50" s="258"/>
    </row>
    <row r="51" spans="1:6">
      <c r="A51" s="258"/>
      <c r="B51" s="258"/>
    </row>
  </sheetData>
  <mergeCells count="29">
    <mergeCell ref="A10:B10"/>
    <mergeCell ref="C10:F10"/>
    <mergeCell ref="A11:B11"/>
    <mergeCell ref="C11:F11"/>
    <mergeCell ref="A12:B12"/>
    <mergeCell ref="A13:B13"/>
    <mergeCell ref="C13:F13"/>
    <mergeCell ref="C14:F14"/>
    <mergeCell ref="A15:B15"/>
    <mergeCell ref="C15:F15"/>
    <mergeCell ref="A16:B16"/>
    <mergeCell ref="A17:B17"/>
    <mergeCell ref="C17:F17"/>
    <mergeCell ref="A18:B18"/>
    <mergeCell ref="A19:B19"/>
    <mergeCell ref="A20:B20"/>
    <mergeCell ref="A21:B21"/>
    <mergeCell ref="A22:B22"/>
    <mergeCell ref="C23:F23"/>
    <mergeCell ref="D27:E27"/>
    <mergeCell ref="A29:F29"/>
    <mergeCell ref="D30:F30"/>
    <mergeCell ref="A31:B31"/>
    <mergeCell ref="D31:E31"/>
    <mergeCell ref="D32:E32"/>
    <mergeCell ref="A33:B33"/>
    <mergeCell ref="A34:B34"/>
    <mergeCell ref="A42:D42"/>
    <mergeCell ref="A2:F8"/>
  </mergeCells>
  <pageMargins left="0.47244094488189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2"/>
  <sheetViews>
    <sheetView workbookViewId="0">
      <selection activeCell="C15" sqref="C15:F15"/>
    </sheetView>
  </sheetViews>
  <sheetFormatPr defaultColWidth="9" defaultRowHeight="15.75"/>
  <cols>
    <col min="1" max="1" width="23.1916666666667" customWidth="1"/>
    <col min="2" max="2" width="20.1916666666667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213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214</v>
      </c>
      <c r="D16" s="59"/>
      <c r="E16" s="59"/>
      <c r="F16" s="59"/>
    </row>
    <row r="17" ht="14.25" customHeight="1" spans="1:6">
      <c r="A17" s="13" t="s">
        <v>9</v>
      </c>
      <c r="B17" s="14"/>
      <c r="C17" s="61" t="s">
        <v>57</v>
      </c>
      <c r="D17" s="62"/>
      <c r="E17" s="62"/>
      <c r="F17" s="62"/>
    </row>
    <row r="18" ht="14.25" customHeight="1" spans="1:6">
      <c r="A18" s="13" t="s">
        <v>11</v>
      </c>
      <c r="B18" s="14"/>
      <c r="C18" s="63"/>
      <c r="D18" s="13"/>
      <c r="E18" s="13"/>
      <c r="F18" s="13"/>
    </row>
    <row r="19" ht="14.25" customHeight="1" spans="1:6">
      <c r="A19" s="7" t="s">
        <v>13</v>
      </c>
      <c r="B19" s="8"/>
      <c r="C19" s="63"/>
      <c r="D19" s="13"/>
      <c r="E19" s="13"/>
      <c r="F19" s="13"/>
    </row>
    <row r="20" ht="14.25" customHeight="1" spans="1:6">
      <c r="A20" s="12"/>
      <c r="B20" s="17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16</v>
      </c>
      <c r="B22" s="14"/>
      <c r="C22" s="63"/>
      <c r="D22" s="13"/>
      <c r="E22" s="13"/>
      <c r="F22" s="13"/>
    </row>
    <row r="23" ht="14.25" customHeight="1" spans="1:6">
      <c r="A23" s="13"/>
      <c r="B23" s="14"/>
      <c r="C23" s="63"/>
      <c r="D23" s="13"/>
      <c r="E23" s="13"/>
      <c r="F23" s="13"/>
    </row>
    <row r="24" ht="14.25" customHeight="1" spans="1:6">
      <c r="A24" s="7"/>
      <c r="B24" s="8"/>
      <c r="C24" s="63"/>
      <c r="D24" s="13"/>
      <c r="E24" s="13"/>
      <c r="F24" s="13"/>
    </row>
    <row r="25" ht="14.25" customHeight="1" spans="1:6">
      <c r="A25" s="10" t="s">
        <v>17</v>
      </c>
      <c r="B25" s="18" t="s">
        <v>18</v>
      </c>
      <c r="C25" s="63"/>
      <c r="D25" s="13"/>
      <c r="E25" s="13"/>
      <c r="F25" s="13"/>
    </row>
    <row r="26" spans="1:6">
      <c r="A26" s="19" t="s">
        <v>215</v>
      </c>
      <c r="B26" s="20" t="s">
        <v>20</v>
      </c>
      <c r="C26" s="63"/>
      <c r="D26" s="13"/>
      <c r="E26" s="13"/>
      <c r="F26" s="13"/>
    </row>
    <row r="27" ht="14.25" customHeight="1" spans="1:6">
      <c r="A27" s="10" t="s">
        <v>21</v>
      </c>
      <c r="B27" s="18" t="s">
        <v>22</v>
      </c>
      <c r="C27" s="63"/>
      <c r="D27" s="13"/>
      <c r="E27" s="13"/>
      <c r="F27" s="13"/>
    </row>
    <row r="28" ht="17.65" customHeight="1" spans="1:6">
      <c r="A28" s="299" t="s">
        <v>216</v>
      </c>
      <c r="B28" s="22" t="s">
        <v>217</v>
      </c>
      <c r="C28" s="63"/>
      <c r="D28" s="13"/>
      <c r="E28" s="13"/>
      <c r="F28" s="13"/>
    </row>
    <row r="29" spans="1:6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6">
      <c r="A30" s="29"/>
      <c r="B30" s="36"/>
      <c r="C30" s="36" t="s">
        <v>29</v>
      </c>
      <c r="D30" s="36"/>
      <c r="E30" s="36" t="s">
        <v>30</v>
      </c>
      <c r="F30" s="64" t="s">
        <v>31</v>
      </c>
    </row>
    <row r="31" ht="6" customHeight="1" spans="1:6">
      <c r="A31" s="29"/>
      <c r="B31" s="29"/>
      <c r="C31" s="29"/>
      <c r="D31" s="29"/>
      <c r="E31" s="29"/>
      <c r="F31" s="29"/>
    </row>
    <row r="32" ht="31.9" customHeight="1" spans="1:6">
      <c r="A32" s="29" t="s">
        <v>32</v>
      </c>
      <c r="B32" s="29"/>
      <c r="C32" s="29"/>
      <c r="D32" s="30" t="s">
        <v>33</v>
      </c>
      <c r="E32" s="30"/>
      <c r="F32" s="30"/>
    </row>
    <row r="33" ht="22.9" customHeight="1" spans="1:10">
      <c r="A33" s="34" t="s">
        <v>210</v>
      </c>
      <c r="B33" s="34"/>
      <c r="C33" s="31">
        <v>9.6</v>
      </c>
      <c r="D33" s="300">
        <v>1420</v>
      </c>
      <c r="E33" s="300"/>
      <c r="F33" s="300">
        <f>D33*C33</f>
        <v>13632</v>
      </c>
    </row>
    <row r="34" ht="11.25" customHeight="1" spans="1:10">
      <c r="A34" s="34"/>
      <c r="B34" s="34" t="s">
        <v>218</v>
      </c>
      <c r="C34" s="31">
        <v>2.4</v>
      </c>
      <c r="D34" s="301">
        <v>1385</v>
      </c>
      <c r="E34" s="301"/>
      <c r="F34" s="300">
        <f>D34*C34</f>
        <v>3324</v>
      </c>
    </row>
    <row r="35" ht="11.25" customHeight="1" spans="1:10">
      <c r="A35" s="30" t="s">
        <v>35</v>
      </c>
      <c r="B35" s="30"/>
      <c r="C35" s="36"/>
      <c r="D35" s="35"/>
      <c r="E35" s="35"/>
      <c r="F35" s="302"/>
    </row>
    <row r="36" ht="20.65" customHeight="1" spans="1:10">
      <c r="A36" s="37"/>
      <c r="B36" s="37"/>
      <c r="C36" s="37"/>
      <c r="D36" s="38"/>
      <c r="E36" s="38"/>
      <c r="F36" s="303"/>
      <c r="J36" s="214"/>
    </row>
    <row r="37" s="259" customFormat="1" ht="16.5" spans="1:10">
      <c r="A37" s="35"/>
      <c r="B37" s="36" t="s">
        <v>36</v>
      </c>
      <c r="C37" s="36" t="s">
        <v>212</v>
      </c>
      <c r="D37" s="36"/>
      <c r="E37" s="36"/>
      <c r="F37" s="304">
        <f>SUM(F33:F36)</f>
        <v>16956</v>
      </c>
    </row>
    <row r="38" s="259" customFormat="1"/>
    <row r="39" s="259" customFormat="1"/>
    <row r="42" spans="1:10">
      <c r="E42" s="55" t="s">
        <v>47</v>
      </c>
    </row>
  </sheetData>
  <mergeCells count="29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C16:F16"/>
    <mergeCell ref="A17:B17"/>
    <mergeCell ref="A18:B18"/>
    <mergeCell ref="A19:B19"/>
    <mergeCell ref="A20:B20"/>
    <mergeCell ref="A21:B21"/>
    <mergeCell ref="A22:B22"/>
    <mergeCell ref="A23:B23"/>
    <mergeCell ref="A24:B24"/>
    <mergeCell ref="C29:D29"/>
    <mergeCell ref="A31:F31"/>
    <mergeCell ref="D32:F32"/>
    <mergeCell ref="A33:B33"/>
    <mergeCell ref="D33:E33"/>
    <mergeCell ref="D34:E34"/>
    <mergeCell ref="A35:B35"/>
    <mergeCell ref="A36:B36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0"/>
  <sheetViews>
    <sheetView workbookViewId="0">
      <selection activeCell="C15" sqref="C12:H24"/>
    </sheetView>
  </sheetViews>
  <sheetFormatPr defaultColWidth="9" defaultRowHeight="11.6"/>
  <cols>
    <col min="1" max="1" width="22.875" style="1" customWidth="1"/>
    <col min="2" max="2" width="22.8166666666667" style="1" customWidth="1"/>
    <col min="3" max="3" width="8.625" style="1" customWidth="1"/>
    <col min="4" max="4" width="7.06666666666667" style="1" customWidth="1"/>
    <col min="5" max="5" width="3.94166666666667" style="1" customWidth="1"/>
    <col min="6" max="6" width="7.69166666666667" style="1" customWidth="1"/>
    <col min="7" max="7" width="6.19166666666667" style="1" customWidth="1"/>
    <col min="8" max="8" width="11.44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10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213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45"/>
      <c r="B11" s="28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138"/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9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94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7" t="s">
        <v>95</v>
      </c>
      <c r="B15" s="8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2"/>
      <c r="B16" s="17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16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/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7"/>
      <c r="B20" s="8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289" t="s">
        <v>17</v>
      </c>
      <c r="B21" s="290" t="s">
        <v>18</v>
      </c>
      <c r="C21" s="15"/>
      <c r="D21" s="16"/>
      <c r="E21" s="16"/>
      <c r="F21" s="16"/>
      <c r="G21" s="16"/>
      <c r="H21" s="16"/>
      <c r="I21" s="16"/>
    </row>
    <row r="22" customFormat="1" ht="16.15" customHeight="1" spans="1:10">
      <c r="A22" s="19" t="s">
        <v>215</v>
      </c>
      <c r="B22" s="20" t="s">
        <v>20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289" t="s">
        <v>21</v>
      </c>
      <c r="B23" s="290" t="s">
        <v>22</v>
      </c>
      <c r="C23" s="15"/>
      <c r="D23" s="16"/>
      <c r="E23" s="16"/>
      <c r="F23" s="16"/>
      <c r="G23" s="16"/>
      <c r="H23" s="16"/>
      <c r="I23" s="16"/>
    </row>
    <row r="24" customFormat="1" ht="19.15" customHeight="1" spans="1:10">
      <c r="A24" s="291" t="s">
        <v>216</v>
      </c>
      <c r="B24" s="292" t="s">
        <v>217</v>
      </c>
      <c r="C24" s="15"/>
      <c r="D24" s="16"/>
      <c r="E24" s="16"/>
      <c r="F24" s="16"/>
      <c r="G24" s="16"/>
      <c r="H24" s="16"/>
      <c r="I24" s="16"/>
    </row>
    <row r="25" customFormat="1" ht="24.75" customHeight="1" spans="1:10">
      <c r="A25" s="293" t="s">
        <v>17</v>
      </c>
      <c r="B25" s="24" t="s">
        <v>25</v>
      </c>
      <c r="C25" s="25" t="s">
        <v>219</v>
      </c>
      <c r="D25" s="27" t="s">
        <v>220</v>
      </c>
      <c r="E25" s="201"/>
      <c r="F25" s="27" t="s">
        <v>221</v>
      </c>
      <c r="G25" s="201"/>
      <c r="H25" s="28" t="s">
        <v>103</v>
      </c>
      <c r="I25" s="202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 t="s">
        <v>222</v>
      </c>
      <c r="D27" s="29"/>
      <c r="E27" s="29"/>
      <c r="F27" s="29"/>
      <c r="G27" s="29"/>
      <c r="H27" s="29"/>
      <c r="I27" s="29"/>
      <c r="J27" s="29"/>
    </row>
    <row r="28" ht="17.75" customHeight="1" spans="1:10">
      <c r="A28" s="35" t="s">
        <v>32</v>
      </c>
      <c r="B28" s="231" t="s">
        <v>223</v>
      </c>
      <c r="C28" s="294">
        <f>16*24</f>
        <v>384</v>
      </c>
      <c r="D28" s="295">
        <v>9600</v>
      </c>
      <c r="E28" s="73"/>
      <c r="F28" s="296">
        <f>25.2*C28</f>
        <v>9676.8</v>
      </c>
      <c r="G28" s="296"/>
      <c r="H28" s="297"/>
      <c r="I28" s="33"/>
      <c r="J28" s="31"/>
    </row>
    <row r="29" ht="16.15" customHeight="1" spans="1:10">
      <c r="B29" s="231" t="s">
        <v>218</v>
      </c>
      <c r="C29" s="294">
        <v>96</v>
      </c>
      <c r="D29" s="295">
        <v>2400</v>
      </c>
      <c r="E29" s="73"/>
      <c r="F29" s="296">
        <f>25.1*C29</f>
        <v>2409.6</v>
      </c>
      <c r="G29" s="296"/>
      <c r="H29" s="297"/>
      <c r="I29" s="33"/>
      <c r="J29" s="31"/>
    </row>
    <row r="30" spans="1:10">
      <c r="A30" s="34"/>
      <c r="B30" s="213" t="s">
        <v>224</v>
      </c>
      <c r="C30" s="294"/>
      <c r="D30" s="135"/>
      <c r="E30" s="135"/>
      <c r="F30" s="135"/>
      <c r="G30" s="135"/>
      <c r="H30" s="135"/>
      <c r="I30" s="35"/>
      <c r="J30" s="35"/>
    </row>
    <row r="31" s="67" customFormat="1" ht="28.5" customHeight="1" spans="1:10">
      <c r="A31" s="34"/>
      <c r="B31" s="294"/>
      <c r="C31" s="294"/>
      <c r="D31" s="135"/>
      <c r="E31" s="135"/>
      <c r="F31" s="135"/>
      <c r="G31" s="135"/>
      <c r="H31" s="135"/>
      <c r="I31" s="35"/>
      <c r="J31" s="35"/>
    </row>
    <row r="32" s="67" customFormat="1" ht="12" customHeight="1" spans="1:10">
      <c r="A32" s="35"/>
      <c r="B32" s="204"/>
      <c r="C32" s="205"/>
      <c r="D32" s="206"/>
      <c r="E32" s="206"/>
      <c r="F32" s="206"/>
      <c r="G32" s="206"/>
      <c r="H32" s="207"/>
      <c r="I32" s="34"/>
      <c r="J32" s="35"/>
    </row>
    <row r="33" s="67" customFormat="1" ht="12" customHeight="1" spans="1:10">
      <c r="A33" s="35"/>
      <c r="B33" s="298"/>
      <c r="C33" s="205"/>
      <c r="D33" s="206"/>
      <c r="E33" s="206"/>
      <c r="F33" s="206"/>
      <c r="G33" s="206"/>
      <c r="H33" s="207"/>
      <c r="I33" s="34"/>
      <c r="J33" s="35"/>
    </row>
    <row r="34" s="67" customFormat="1" ht="12" customHeight="1" spans="1:10">
      <c r="A34" s="35"/>
      <c r="B34" s="204"/>
      <c r="C34" s="205"/>
      <c r="D34" s="206"/>
      <c r="E34" s="206"/>
      <c r="F34" s="206"/>
      <c r="G34" s="206"/>
      <c r="H34" s="207"/>
      <c r="I34" s="34"/>
      <c r="J34" s="35"/>
    </row>
    <row r="35" ht="12.35" spans="1:10">
      <c r="A35" s="37"/>
      <c r="B35" s="37"/>
      <c r="C35" s="37"/>
      <c r="D35" s="38"/>
      <c r="E35" s="38"/>
      <c r="F35" s="38"/>
      <c r="G35" s="39"/>
      <c r="H35" s="34"/>
      <c r="I35" s="34"/>
      <c r="J35" s="39"/>
    </row>
    <row r="36" s="128" customFormat="1" ht="12.35" spans="1:10">
      <c r="A36" s="34"/>
      <c r="B36" s="34" t="s">
        <v>36</v>
      </c>
      <c r="C36" s="34" t="s">
        <v>225</v>
      </c>
      <c r="D36" s="284">
        <v>12000</v>
      </c>
      <c r="E36" s="132" t="s">
        <v>81</v>
      </c>
      <c r="F36" s="284">
        <f>SUM(F28:G35)</f>
        <v>12086.4</v>
      </c>
      <c r="G36" s="209" t="s">
        <v>81</v>
      </c>
      <c r="H36" s="210" t="s">
        <v>226</v>
      </c>
      <c r="I36" s="133"/>
      <c r="J36" s="34"/>
    </row>
    <row r="37" ht="21.75" customHeight="1" spans="1:10">
      <c r="D37" s="211"/>
      <c r="E37" s="211"/>
      <c r="F37" s="211"/>
      <c r="G37" s="211"/>
    </row>
    <row r="38" spans="1:10">
      <c r="C38" s="42"/>
      <c r="D38" s="212"/>
      <c r="E38" s="212"/>
      <c r="F38" s="212"/>
      <c r="G38" s="212"/>
      <c r="I38" s="212"/>
      <c r="J38" s="212"/>
    </row>
    <row r="40" spans="1:10">
      <c r="D40" s="43" t="s">
        <v>83</v>
      </c>
      <c r="E40" s="43"/>
      <c r="F40" s="43"/>
      <c r="G40" s="43"/>
      <c r="H40" s="211"/>
      <c r="I40" s="211"/>
    </row>
  </sheetData>
  <mergeCells count="35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3:B13"/>
    <mergeCell ref="A14:B14"/>
    <mergeCell ref="A15:B15"/>
    <mergeCell ref="A16:B16"/>
    <mergeCell ref="A17:B17"/>
    <mergeCell ref="A18:B18"/>
    <mergeCell ref="A19:B19"/>
    <mergeCell ref="A20:B20"/>
    <mergeCell ref="D25:E25"/>
    <mergeCell ref="F25:G25"/>
    <mergeCell ref="A26:J26"/>
    <mergeCell ref="D28:E28"/>
    <mergeCell ref="F28:G28"/>
    <mergeCell ref="D29:E29"/>
    <mergeCell ref="F29:G29"/>
    <mergeCell ref="B31:C31"/>
    <mergeCell ref="D32:E32"/>
    <mergeCell ref="F32:G32"/>
    <mergeCell ref="D33:E33"/>
    <mergeCell ref="F33:G33"/>
    <mergeCell ref="D34:E34"/>
    <mergeCell ref="F34:G34"/>
    <mergeCell ref="A35:B35"/>
    <mergeCell ref="A2:H6"/>
    <mergeCell ref="C12:H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6"/>
  <sheetViews>
    <sheetView topLeftCell="A13" workbookViewId="0">
      <selection activeCell="C33" sqref="C33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10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227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45"/>
      <c r="B15" s="28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228</v>
      </c>
      <c r="D16" s="59"/>
      <c r="E16" s="59"/>
      <c r="F16" s="59"/>
    </row>
    <row r="17" ht="14.25" customHeight="1" spans="1:6">
      <c r="A17" s="13" t="s">
        <v>229</v>
      </c>
      <c r="B17" s="14"/>
      <c r="C17" s="61" t="s">
        <v>157</v>
      </c>
      <c r="D17" s="62"/>
      <c r="E17" s="62"/>
      <c r="F17" s="62"/>
    </row>
    <row r="18" ht="14.25" customHeight="1" spans="1:6">
      <c r="A18" s="13" t="s">
        <v>230</v>
      </c>
      <c r="B18" s="14"/>
      <c r="C18" s="63"/>
      <c r="D18" s="13"/>
      <c r="E18" s="13"/>
      <c r="F18" s="13"/>
    </row>
    <row r="19" ht="14.25" customHeight="1" spans="1:6">
      <c r="A19" s="13" t="s">
        <v>231</v>
      </c>
      <c r="B19" s="14"/>
      <c r="C19" s="63"/>
      <c r="D19" s="13"/>
      <c r="E19" s="13"/>
      <c r="F19" s="13"/>
    </row>
    <row r="20" ht="14.25" customHeight="1" spans="1:6">
      <c r="A20" s="13"/>
      <c r="B20" s="14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229</v>
      </c>
      <c r="B22" s="14"/>
      <c r="C22" s="63"/>
      <c r="D22" s="13"/>
      <c r="E22" s="13"/>
      <c r="F22" s="13"/>
    </row>
    <row r="23" ht="14.25" customHeight="1" spans="1:6">
      <c r="A23" s="13" t="s">
        <v>230</v>
      </c>
      <c r="B23" s="14"/>
      <c r="C23" s="63"/>
      <c r="D23" s="13"/>
      <c r="E23" s="13"/>
      <c r="F23" s="13"/>
    </row>
    <row r="24" ht="14.25" customHeight="1" spans="1:6">
      <c r="A24" s="13" t="s">
        <v>231</v>
      </c>
      <c r="B24" s="14"/>
      <c r="C24" s="63"/>
      <c r="D24" s="13"/>
      <c r="E24" s="13"/>
      <c r="F24" s="13"/>
    </row>
    <row r="25" ht="14.25" customHeight="1" spans="1:6">
      <c r="A25" s="10" t="s">
        <v>17</v>
      </c>
      <c r="B25" s="18" t="s">
        <v>18</v>
      </c>
      <c r="C25" s="63"/>
      <c r="D25" s="13"/>
      <c r="E25" s="13"/>
      <c r="F25" s="13"/>
    </row>
    <row r="26" spans="1:6">
      <c r="A26" s="19" t="s">
        <v>232</v>
      </c>
      <c r="B26" s="20" t="s">
        <v>20</v>
      </c>
      <c r="C26" s="63"/>
      <c r="D26" s="13"/>
      <c r="E26" s="13"/>
      <c r="F26" s="13"/>
    </row>
    <row r="27" ht="14.25" customHeight="1" spans="1:6">
      <c r="A27" s="10" t="s">
        <v>21</v>
      </c>
      <c r="B27" s="18" t="s">
        <v>22</v>
      </c>
      <c r="C27" s="63"/>
      <c r="D27" s="13"/>
      <c r="E27" s="13"/>
      <c r="F27" s="13"/>
    </row>
    <row r="28" ht="13.5" customHeight="1" spans="1:6">
      <c r="A28" s="21" t="s">
        <v>233</v>
      </c>
      <c r="B28" s="22" t="s">
        <v>234</v>
      </c>
      <c r="C28" s="63"/>
      <c r="D28" s="13"/>
      <c r="E28" s="13"/>
      <c r="F28" s="13"/>
    </row>
    <row r="29" spans="1:6">
      <c r="A29" s="23" t="s">
        <v>24</v>
      </c>
      <c r="B29" s="24" t="s">
        <v>25</v>
      </c>
      <c r="C29" s="27" t="s">
        <v>26</v>
      </c>
      <c r="D29" s="201"/>
      <c r="E29" s="25" t="s">
        <v>27</v>
      </c>
      <c r="F29" s="28" t="s">
        <v>28</v>
      </c>
    </row>
    <row r="30" ht="12" customHeight="1" spans="1:6">
      <c r="A30" s="29"/>
      <c r="B30" s="36"/>
      <c r="C30" s="36" t="s">
        <v>206</v>
      </c>
      <c r="D30" s="36"/>
      <c r="E30" s="36" t="s">
        <v>235</v>
      </c>
      <c r="F30" s="64" t="s">
        <v>31</v>
      </c>
    </row>
    <row r="31" ht="6" customHeight="1" spans="1:6">
      <c r="A31" s="29"/>
      <c r="B31" s="29"/>
      <c r="C31" s="29"/>
      <c r="D31" s="29"/>
      <c r="E31" s="29"/>
      <c r="F31" s="29"/>
    </row>
    <row r="32" ht="11.25" customHeight="1" spans="1:6">
      <c r="A32" s="29"/>
      <c r="B32" s="29"/>
      <c r="C32" s="29"/>
      <c r="D32" s="29"/>
      <c r="E32" s="30" t="s">
        <v>236</v>
      </c>
      <c r="F32" s="30"/>
    </row>
    <row r="33" ht="15" customHeight="1" spans="1:10">
      <c r="B33" s="213" t="s">
        <v>237</v>
      </c>
      <c r="C33" s="35">
        <v>980</v>
      </c>
      <c r="D33" s="35"/>
      <c r="E33" s="280">
        <v>20.1</v>
      </c>
      <c r="F33" s="288">
        <f>C33*E33</f>
        <v>19698</v>
      </c>
    </row>
    <row r="34" ht="11.25" customHeight="1" spans="1:10">
      <c r="A34" s="35" t="s">
        <v>32</v>
      </c>
      <c r="B34" s="213"/>
      <c r="C34" s="41"/>
      <c r="D34" s="41"/>
      <c r="E34" s="41"/>
      <c r="F34" s="41"/>
    </row>
    <row r="35" ht="11.25" customHeight="1" spans="1:10">
      <c r="A35" s="35"/>
      <c r="B35" s="213"/>
      <c r="C35" s="41"/>
      <c r="D35" s="41"/>
      <c r="E35" s="41"/>
      <c r="F35" s="41"/>
    </row>
    <row r="36" ht="11.25" customHeight="1" spans="1:10">
      <c r="A36" s="35"/>
      <c r="B36" s="213"/>
      <c r="C36" s="41"/>
      <c r="D36" s="41"/>
      <c r="E36" s="41"/>
      <c r="F36" s="41"/>
    </row>
    <row r="37" ht="15" customHeight="1" spans="1:10">
      <c r="A37" s="34"/>
      <c r="B37" s="136"/>
      <c r="C37" s="31"/>
      <c r="D37" s="31"/>
      <c r="E37" s="65"/>
      <c r="F37" s="66"/>
      <c r="J37" s="214"/>
    </row>
    <row r="38" s="259" customFormat="1" spans="1:10">
      <c r="A38" s="259" t="s">
        <v>238</v>
      </c>
    </row>
    <row r="39" s="259" customFormat="1" spans="1:10">
      <c r="A39" s="259" t="s">
        <v>239</v>
      </c>
    </row>
    <row r="40" s="259" customFormat="1" spans="1:10">
      <c r="A40" s="259" t="s">
        <v>240</v>
      </c>
    </row>
    <row r="41" s="259" customFormat="1" spans="1:10">
      <c r="A41" s="259" t="s">
        <v>241</v>
      </c>
    </row>
    <row r="42" s="259" customFormat="1" spans="1:10">
      <c r="A42" s="259" t="s">
        <v>242</v>
      </c>
    </row>
    <row r="43" s="259" customFormat="1" spans="1:10">
      <c r="B43" s="259" t="s">
        <v>243</v>
      </c>
    </row>
    <row r="46" spans="1:10">
      <c r="E46" s="55" t="s">
        <v>47</v>
      </c>
    </row>
  </sheetData>
  <mergeCells count="24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A18:B18"/>
    <mergeCell ref="A19:B19"/>
    <mergeCell ref="A21:B21"/>
    <mergeCell ref="A22:B22"/>
    <mergeCell ref="A23:B23"/>
    <mergeCell ref="A24:B24"/>
    <mergeCell ref="C29:D29"/>
    <mergeCell ref="A31:F31"/>
    <mergeCell ref="E32:F32"/>
    <mergeCell ref="A2:F9"/>
    <mergeCell ref="C17:F28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9"/>
  <sheetViews>
    <sheetView topLeftCell="A7" workbookViewId="0">
      <selection activeCell="B46" sqref="B46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3.94166666666667" style="1" customWidth="1"/>
    <col min="6" max="6" width="8.56666666666667" style="1" customWidth="1"/>
    <col min="7" max="7" width="3.44166666666667" style="1" customWidth="1"/>
    <col min="8" max="8" width="10.875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5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244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116"/>
      <c r="B11" s="11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245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229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230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3" t="s">
        <v>231</v>
      </c>
      <c r="B15" s="14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3"/>
      <c r="B16" s="14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229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 t="s">
        <v>230</v>
      </c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13" t="s">
        <v>231</v>
      </c>
      <c r="B20" s="14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3"/>
      <c r="B21" s="14"/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0" t="s">
        <v>17</v>
      </c>
      <c r="B22" s="18" t="s">
        <v>18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9" t="s">
        <v>232</v>
      </c>
      <c r="B23" s="20" t="s">
        <v>20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10" t="s">
        <v>21</v>
      </c>
      <c r="B24" s="18" t="s">
        <v>22</v>
      </c>
      <c r="C24" s="15"/>
      <c r="D24" s="16"/>
      <c r="E24" s="16"/>
      <c r="F24" s="16"/>
      <c r="G24" s="16"/>
      <c r="H24" s="16"/>
      <c r="I24" s="16"/>
    </row>
    <row r="25" customFormat="1" ht="15.75" spans="1:10">
      <c r="A25" s="21" t="s">
        <v>233</v>
      </c>
      <c r="B25" s="22" t="s">
        <v>246</v>
      </c>
      <c r="C25" s="15"/>
      <c r="D25" s="16"/>
      <c r="E25" s="16"/>
      <c r="F25" s="16"/>
      <c r="G25" s="16"/>
      <c r="H25" s="16"/>
      <c r="I25" s="16"/>
    </row>
    <row r="26" customFormat="1" ht="20.25" customHeight="1" spans="1:10">
      <c r="A26" s="23" t="s">
        <v>24</v>
      </c>
      <c r="B26" s="24" t="s">
        <v>25</v>
      </c>
      <c r="C26" s="25" t="s">
        <v>71</v>
      </c>
      <c r="D26" s="27" t="s">
        <v>72</v>
      </c>
      <c r="E26" s="201"/>
      <c r="F26" s="27" t="s">
        <v>73</v>
      </c>
      <c r="G26" s="201"/>
      <c r="H26" s="28" t="s">
        <v>103</v>
      </c>
      <c r="I26" s="202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spans="1:10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ht="12" customHeight="1" spans="1:10">
      <c r="A29"/>
      <c r="B29" s="213" t="s">
        <v>237</v>
      </c>
      <c r="C29" s="36">
        <v>7</v>
      </c>
      <c r="D29" s="73">
        <v>980</v>
      </c>
      <c r="E29" s="73"/>
      <c r="F29" s="278">
        <f>162.3*7</f>
        <v>1136.1</v>
      </c>
      <c r="G29" s="278"/>
      <c r="H29" s="40">
        <v>2.78</v>
      </c>
      <c r="I29" s="33"/>
      <c r="J29" s="31"/>
    </row>
    <row r="30" ht="12" customHeight="1" spans="1:10">
      <c r="A30" s="35" t="s">
        <v>32</v>
      </c>
      <c r="B30" s="213"/>
      <c r="C30" s="31"/>
      <c r="D30" s="32"/>
      <c r="E30" s="32"/>
      <c r="F30" s="279"/>
      <c r="G30" s="279"/>
      <c r="H30" s="33"/>
      <c r="I30" s="33"/>
      <c r="J30" s="31"/>
    </row>
    <row r="31" spans="1:10">
      <c r="A31" s="34"/>
      <c r="B31" s="136"/>
      <c r="C31" s="36"/>
      <c r="D31" s="35"/>
      <c r="E31" s="35"/>
      <c r="F31" s="280"/>
      <c r="G31" s="280"/>
      <c r="H31" s="35"/>
      <c r="I31" s="35"/>
      <c r="J31" s="35"/>
    </row>
    <row r="32" s="67" customFormat="1" ht="19.5" customHeight="1" spans="1:10">
      <c r="A32" s="34"/>
      <c r="B32" s="35"/>
      <c r="C32" s="35"/>
      <c r="D32" s="35"/>
      <c r="E32" s="35"/>
      <c r="F32" s="280"/>
      <c r="G32" s="280"/>
      <c r="H32" s="35"/>
      <c r="I32" s="35"/>
      <c r="J32" s="35"/>
    </row>
    <row r="33" s="67" customFormat="1" ht="10.5" customHeight="1" spans="1:10">
      <c r="A33" s="35"/>
      <c r="B33" s="39"/>
      <c r="C33" s="39"/>
      <c r="D33" s="203"/>
      <c r="E33" s="203"/>
      <c r="F33" s="281"/>
      <c r="G33" s="281"/>
      <c r="H33" s="39"/>
      <c r="I33" s="35"/>
      <c r="J33" s="35"/>
    </row>
    <row r="34" s="67" customFormat="1" ht="12" customHeight="1" spans="1:10">
      <c r="A34" s="35"/>
      <c r="B34" s="204"/>
      <c r="C34" s="205"/>
      <c r="D34" s="206"/>
      <c r="E34" s="206"/>
      <c r="F34" s="282"/>
      <c r="G34" s="282"/>
      <c r="H34" s="207"/>
      <c r="I34" s="34"/>
      <c r="J34" s="35"/>
    </row>
    <row r="35" s="67" customFormat="1" ht="11.25" spans="1:10">
      <c r="B35" s="204"/>
      <c r="C35" s="208"/>
      <c r="D35" s="206"/>
      <c r="E35" s="206"/>
      <c r="F35" s="282"/>
      <c r="G35" s="282"/>
      <c r="H35" s="207"/>
      <c r="I35" s="34"/>
    </row>
    <row r="36" s="67" customFormat="1" ht="11.25" spans="1:10">
      <c r="A36" s="35"/>
      <c r="B36" s="204"/>
      <c r="C36" s="205"/>
      <c r="D36" s="206"/>
      <c r="E36" s="206"/>
      <c r="F36" s="282"/>
      <c r="G36" s="282"/>
      <c r="H36" s="207"/>
      <c r="I36" s="34"/>
      <c r="J36" s="35"/>
    </row>
    <row r="37" s="67" customFormat="1" ht="12" customHeight="1" spans="1:10">
      <c r="A37" s="35"/>
      <c r="B37" s="204"/>
      <c r="C37" s="205"/>
      <c r="D37" s="206"/>
      <c r="E37" s="206"/>
      <c r="F37" s="282"/>
      <c r="G37" s="282"/>
      <c r="H37" s="207"/>
      <c r="I37" s="34"/>
      <c r="J37" s="35"/>
    </row>
    <row r="38" s="67" customFormat="1" ht="12" customHeight="1" spans="1:10">
      <c r="A38" s="35"/>
      <c r="B38" s="204"/>
      <c r="C38" s="205"/>
      <c r="D38" s="206"/>
      <c r="E38" s="206"/>
      <c r="F38" s="282"/>
      <c r="G38" s="282"/>
      <c r="H38" s="207"/>
      <c r="I38" s="34"/>
      <c r="J38" s="35"/>
    </row>
    <row r="39" s="67" customFormat="1" ht="12" customHeight="1" spans="1:10">
      <c r="A39" s="35"/>
      <c r="B39" s="204"/>
      <c r="C39" s="205"/>
      <c r="D39" s="206"/>
      <c r="E39" s="206"/>
      <c r="F39" s="282"/>
      <c r="G39" s="282"/>
      <c r="H39" s="207"/>
      <c r="I39" s="34"/>
      <c r="J39" s="35"/>
    </row>
    <row r="40" s="67" customFormat="1" ht="12" customHeight="1" spans="1:10">
      <c r="A40" s="35"/>
      <c r="B40" s="204"/>
      <c r="C40" s="205"/>
      <c r="D40" s="206"/>
      <c r="E40" s="206"/>
      <c r="F40" s="282"/>
      <c r="G40" s="282"/>
      <c r="H40" s="207"/>
      <c r="I40" s="34"/>
      <c r="J40" s="35"/>
    </row>
    <row r="41" s="67" customFormat="1" ht="12" customHeight="1" spans="1:10">
      <c r="A41" s="35"/>
      <c r="B41" s="204"/>
      <c r="C41" s="205"/>
      <c r="D41" s="206"/>
      <c r="E41" s="206"/>
      <c r="F41" s="282"/>
      <c r="G41" s="282"/>
      <c r="H41" s="207"/>
      <c r="I41" s="34"/>
      <c r="J41" s="35"/>
    </row>
    <row r="42" s="67" customFormat="1" ht="12" customHeight="1" spans="1:10">
      <c r="A42" s="35"/>
      <c r="B42" s="204"/>
      <c r="C42" s="205"/>
      <c r="D42" s="206"/>
      <c r="E42" s="206"/>
      <c r="F42" s="282"/>
      <c r="G42" s="282"/>
      <c r="H42" s="207"/>
      <c r="I42" s="34"/>
      <c r="J42" s="35"/>
    </row>
    <row r="43" s="67" customFormat="1" ht="12" customHeight="1" spans="1:10">
      <c r="A43" s="35"/>
      <c r="B43" s="204"/>
      <c r="C43" s="205"/>
      <c r="D43" s="206"/>
      <c r="E43" s="206"/>
      <c r="F43" s="282"/>
      <c r="G43" s="282"/>
      <c r="H43" s="207"/>
      <c r="I43" s="34"/>
      <c r="J43" s="35"/>
    </row>
    <row r="44" ht="12.35" spans="1:10">
      <c r="A44" s="37"/>
      <c r="B44" s="37"/>
      <c r="C44" s="37"/>
      <c r="D44" s="38"/>
      <c r="E44" s="38"/>
      <c r="F44" s="283"/>
      <c r="G44" s="281"/>
      <c r="H44" s="34"/>
      <c r="I44" s="34"/>
      <c r="J44" s="39"/>
    </row>
    <row r="45" s="128" customFormat="1" ht="12.35" spans="1:10">
      <c r="A45" s="34"/>
      <c r="B45" s="34" t="s">
        <v>36</v>
      </c>
      <c r="C45" s="34" t="s">
        <v>247</v>
      </c>
      <c r="D45" s="284">
        <v>980</v>
      </c>
      <c r="E45" s="132" t="s">
        <v>206</v>
      </c>
      <c r="F45" s="285">
        <f>F29</f>
        <v>1136.1</v>
      </c>
      <c r="G45" s="286" t="s">
        <v>206</v>
      </c>
      <c r="H45" s="210" t="s">
        <v>248</v>
      </c>
      <c r="I45" s="133"/>
      <c r="J45" s="34"/>
    </row>
    <row r="46" ht="21.75" customHeight="1" spans="1:10">
      <c r="D46" s="211"/>
      <c r="E46" s="211"/>
      <c r="F46" s="211"/>
      <c r="G46" s="211"/>
    </row>
    <row r="47" spans="1:10">
      <c r="C47" s="42"/>
      <c r="D47" s="212"/>
      <c r="E47" s="212"/>
      <c r="F47" s="212"/>
      <c r="G47" s="212"/>
      <c r="I47" s="212"/>
      <c r="J47" s="212"/>
    </row>
    <row r="49" spans="4:9">
      <c r="D49" s="43" t="s">
        <v>83</v>
      </c>
      <c r="E49" s="43"/>
      <c r="F49" s="43"/>
      <c r="G49" s="43"/>
      <c r="H49" s="211"/>
      <c r="I49" s="211"/>
    </row>
  </sheetData>
  <mergeCells count="46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A13:B13"/>
    <mergeCell ref="A14:B14"/>
    <mergeCell ref="A15:B15"/>
    <mergeCell ref="A17:B17"/>
    <mergeCell ref="A18:B18"/>
    <mergeCell ref="A19:B19"/>
    <mergeCell ref="A20:B20"/>
    <mergeCell ref="D26:E26"/>
    <mergeCell ref="F26:G26"/>
    <mergeCell ref="A27:J27"/>
    <mergeCell ref="D29:E29"/>
    <mergeCell ref="D30:E30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A44:B44"/>
    <mergeCell ref="C12:H25"/>
    <mergeCell ref="A2:H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9"/>
  <sheetViews>
    <sheetView workbookViewId="0">
      <selection activeCell="A23" sqref="A23:C23"/>
    </sheetView>
  </sheetViews>
  <sheetFormatPr defaultColWidth="9" defaultRowHeight="15.75"/>
  <cols>
    <col min="1" max="1" width="15.375" style="260" customWidth="1"/>
    <col min="2" max="2" width="9" style="260"/>
    <col min="3" max="3" width="7.94166666666667" style="260" customWidth="1"/>
    <col min="4" max="4" width="10.75" style="260" customWidth="1"/>
    <col min="5" max="5" width="9.44166666666667" style="260" customWidth="1"/>
    <col min="6" max="6" width="9" style="260"/>
    <col min="7" max="7" width="1.81666666666667" style="260" customWidth="1"/>
    <col min="8" max="8" width="10.9416666666667" style="260" customWidth="1"/>
    <col min="9" max="9" width="3.19166666666667" style="260" customWidth="1"/>
    <col min="10" max="16384" width="9" style="260"/>
  </cols>
  <sheetData>
    <row r="2" ht="21" customHeight="1"/>
    <row r="3" ht="21" customHeight="1"/>
    <row r="4" ht="28.5" customHeight="1" spans="1:11">
      <c r="A4" s="261" t="s">
        <v>141</v>
      </c>
      <c r="B4" s="261"/>
      <c r="C4" s="261"/>
      <c r="D4" s="261"/>
      <c r="E4" s="261"/>
      <c r="F4" s="261"/>
      <c r="G4" s="261"/>
      <c r="H4" s="261"/>
      <c r="I4" s="261"/>
      <c r="J4" s="262"/>
      <c r="K4" s="262"/>
    </row>
    <row r="5" s="259" customFormat="1" ht="17.65" customHeight="1"/>
    <row r="6" s="259" customFormat="1" spans="1:11">
      <c r="A6" s="263" t="s">
        <v>249</v>
      </c>
      <c r="B6" s="259" t="s">
        <v>250</v>
      </c>
      <c r="I6" s="264" t="s">
        <v>251</v>
      </c>
    </row>
    <row r="7" s="259" customFormat="1" spans="1:11">
      <c r="A7" s="263"/>
    </row>
    <row r="8" s="259" customFormat="1" ht="20" customHeight="1" spans="1:11">
      <c r="A8" s="263" t="s">
        <v>252</v>
      </c>
      <c r="B8" s="259" t="s">
        <v>253</v>
      </c>
    </row>
    <row r="9" s="259" customFormat="1" ht="20" customHeight="1" spans="1:11">
      <c r="A9" s="263"/>
      <c r="B9" s="259" t="s">
        <v>254</v>
      </c>
    </row>
    <row r="10" s="259" customFormat="1" ht="20" customHeight="1" spans="1:11">
      <c r="A10" s="263"/>
      <c r="B10" s="259" t="s">
        <v>255</v>
      </c>
    </row>
    <row r="11" s="259" customFormat="1" ht="20" customHeight="1" spans="1:11">
      <c r="A11" s="263" t="s">
        <v>256</v>
      </c>
      <c r="B11" s="259" t="s">
        <v>19</v>
      </c>
    </row>
    <row r="12" s="259" customFormat="1" ht="20" customHeight="1" spans="1:11">
      <c r="A12" s="263" t="s">
        <v>257</v>
      </c>
      <c r="B12" s="259" t="s">
        <v>258</v>
      </c>
    </row>
    <row r="13" s="259" customFormat="1" ht="20" customHeight="1" spans="1:11">
      <c r="A13" s="263" t="s">
        <v>259</v>
      </c>
      <c r="B13" s="259" t="s">
        <v>260</v>
      </c>
    </row>
    <row r="14" s="259" customFormat="1" spans="1:11">
      <c r="A14" s="263" t="s">
        <v>261</v>
      </c>
      <c r="B14" s="259" t="s">
        <v>262</v>
      </c>
    </row>
    <row r="15" s="259" customFormat="1" spans="1:11">
      <c r="A15" s="263" t="s">
        <v>263</v>
      </c>
      <c r="B15" s="259" t="s">
        <v>264</v>
      </c>
    </row>
    <row r="16" s="259" customFormat="1"/>
    <row r="17" s="259" customFormat="1" ht="31.9" customHeight="1" spans="1:9">
      <c r="A17" s="265" t="s">
        <v>265</v>
      </c>
      <c r="B17" s="266"/>
      <c r="C17" s="267"/>
      <c r="D17" s="268" t="s">
        <v>266</v>
      </c>
      <c r="E17" s="269" t="s">
        <v>267</v>
      </c>
      <c r="F17" s="268" t="s">
        <v>268</v>
      </c>
      <c r="G17" s="268"/>
      <c r="H17" s="270" t="s">
        <v>269</v>
      </c>
      <c r="I17" s="271"/>
    </row>
    <row r="18" s="259" customFormat="1" spans="1:9">
      <c r="A18" s="265" t="s">
        <v>270</v>
      </c>
      <c r="B18" s="266"/>
      <c r="C18" s="267"/>
      <c r="D18" s="272">
        <v>250</v>
      </c>
      <c r="E18" s="267">
        <v>450</v>
      </c>
      <c r="F18" s="268">
        <v>5</v>
      </c>
      <c r="G18" s="268"/>
      <c r="H18" s="273">
        <f>E18*F18</f>
        <v>2250</v>
      </c>
      <c r="I18" s="274"/>
    </row>
    <row r="19" s="259" customFormat="1" spans="1:9">
      <c r="A19" s="265" t="s">
        <v>36</v>
      </c>
      <c r="B19" s="266"/>
      <c r="C19" s="266"/>
      <c r="D19" s="266"/>
      <c r="E19" s="267"/>
      <c r="F19" s="268">
        <f>F18</f>
        <v>5</v>
      </c>
      <c r="G19" s="268"/>
      <c r="H19" s="275">
        <f>H18</f>
        <v>2250</v>
      </c>
      <c r="I19" s="276"/>
    </row>
    <row r="20" s="259" customFormat="1"/>
    <row r="21" s="259" customFormat="1" spans="1:9">
      <c r="A21" s="259" t="s">
        <v>238</v>
      </c>
    </row>
    <row r="22" s="259" customFormat="1" spans="1:9">
      <c r="A22" s="259" t="s">
        <v>271</v>
      </c>
    </row>
    <row r="23" s="259" customFormat="1" spans="1:9">
      <c r="A23" s="259" t="s">
        <v>240</v>
      </c>
    </row>
    <row r="24" s="259" customFormat="1" spans="1:9">
      <c r="A24" s="259" t="s">
        <v>241</v>
      </c>
    </row>
    <row r="25" s="259" customFormat="1" spans="1:9">
      <c r="A25" s="259" t="s">
        <v>242</v>
      </c>
    </row>
    <row r="26" s="259" customFormat="1" spans="1:9">
      <c r="B26" s="259" t="s">
        <v>243</v>
      </c>
    </row>
    <row r="27" s="259" customFormat="1"/>
    <row r="28" s="259" customFormat="1"/>
    <row r="29" s="259" customFormat="1"/>
    <row r="30" s="259" customFormat="1"/>
    <row r="31" s="259" customFormat="1"/>
    <row r="32" s="259" customFormat="1"/>
    <row r="33" s="259" customFormat="1"/>
    <row r="34" s="259" customFormat="1" spans="1:8">
      <c r="A34" s="259" t="s">
        <v>272</v>
      </c>
      <c r="E34" s="259" t="s">
        <v>273</v>
      </c>
    </row>
    <row r="35" s="259" customFormat="1" spans="1:8">
      <c r="A35" s="259" t="s">
        <v>274</v>
      </c>
      <c r="E35" s="259" t="s">
        <v>9</v>
      </c>
    </row>
    <row r="36" s="259" customFormat="1"/>
    <row r="37" s="259" customFormat="1"/>
    <row r="38" s="259" customFormat="1"/>
    <row r="39" s="259" customFormat="1" spans="1:8">
      <c r="A39" s="277"/>
      <c r="B39" s="277"/>
      <c r="C39" s="277"/>
      <c r="E39" s="277"/>
      <c r="F39" s="277"/>
      <c r="G39" s="277"/>
      <c r="H39" s="277"/>
    </row>
  </sheetData>
  <mergeCells count="10">
    <mergeCell ref="A4:I4"/>
    <mergeCell ref="A17:C17"/>
    <mergeCell ref="F17:G17"/>
    <mergeCell ref="H17:I17"/>
    <mergeCell ref="A18:C18"/>
    <mergeCell ref="F18:G18"/>
    <mergeCell ref="H18:I18"/>
    <mergeCell ref="A19:E19"/>
    <mergeCell ref="F19:G19"/>
    <mergeCell ref="H19:I19"/>
  </mergeCells>
  <printOptions horizontalCentered="1"/>
  <pageMargins left="0.78740157480315" right="0.708661417322835" top="0.748031496062992" bottom="0.748031496062992" header="0.31496062992126" footer="0.31496062992126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23" sqref="A23:F23"/>
    </sheetView>
  </sheetViews>
  <sheetFormatPr defaultColWidth="9" defaultRowHeight="15.75"/>
  <cols>
    <col min="1" max="1" width="20.625" customWidth="1"/>
    <col min="2" max="2" width="20.875" customWidth="1"/>
    <col min="3" max="3" width="13.75" customWidth="1"/>
    <col min="4" max="4" width="6.75" customWidth="1"/>
    <col min="5" max="5" width="7.625" customWidth="1"/>
    <col min="6" max="6" width="15.5" customWidth="1"/>
    <col min="10" max="10" width="9.5" customWidth="1"/>
  </cols>
  <sheetData>
    <row r="1" ht="46.5" customHeight="1"/>
    <row r="2" ht="51.4" customHeight="1" spans="1:7">
      <c r="A2" s="2" t="s">
        <v>0</v>
      </c>
      <c r="B2" s="2"/>
      <c r="C2" s="2"/>
      <c r="D2" s="2"/>
      <c r="E2" s="2"/>
      <c r="F2" s="2"/>
      <c r="G2" s="56"/>
    </row>
    <row r="3" spans="1:7">
      <c r="A3" s="2"/>
      <c r="B3" s="2"/>
      <c r="C3" s="2"/>
      <c r="D3" s="2"/>
      <c r="E3" s="2"/>
      <c r="F3" s="2"/>
      <c r="G3" s="56"/>
    </row>
    <row r="4" ht="9.75" customHeight="1" spans="1:7">
      <c r="A4" s="2"/>
      <c r="B4" s="2"/>
      <c r="C4" s="2"/>
      <c r="D4" s="2"/>
      <c r="E4" s="2"/>
      <c r="F4" s="2"/>
      <c r="G4" s="56"/>
    </row>
    <row r="5" hidden="1" spans="1:7">
      <c r="A5" s="2"/>
      <c r="B5" s="2"/>
      <c r="C5" s="2"/>
      <c r="D5" s="2"/>
      <c r="E5" s="2"/>
      <c r="F5" s="2"/>
      <c r="G5" s="57"/>
    </row>
    <row r="6" ht="2.25" customHeight="1" spans="1:7">
      <c r="A6" s="2"/>
      <c r="B6" s="2"/>
      <c r="C6" s="2"/>
      <c r="D6" s="2"/>
      <c r="E6" s="2"/>
      <c r="F6" s="2"/>
    </row>
    <row r="7" ht="13.5" hidden="1" customHeight="1" spans="1:7">
      <c r="A7" s="2"/>
      <c r="B7" s="2"/>
      <c r="C7" s="2"/>
      <c r="D7" s="2"/>
      <c r="E7" s="2"/>
      <c r="F7" s="2"/>
    </row>
    <row r="8" ht="17.25" hidden="1" customHeight="1" spans="1:7">
      <c r="A8" s="2"/>
      <c r="B8" s="2"/>
      <c r="C8" s="2"/>
      <c r="D8" s="2"/>
      <c r="E8" s="2"/>
      <c r="F8" s="2"/>
    </row>
    <row r="9" ht="6.75" customHeight="1" spans="1:7">
      <c r="A9" s="237"/>
      <c r="B9" s="237"/>
      <c r="C9" s="237"/>
      <c r="D9" s="237"/>
      <c r="E9" s="237"/>
      <c r="F9" s="237"/>
    </row>
    <row r="10" ht="15" customHeight="1" spans="1:7">
      <c r="A10" s="5" t="s">
        <v>1</v>
      </c>
      <c r="B10" s="5"/>
      <c r="C10" s="6" t="s">
        <v>2</v>
      </c>
      <c r="D10" s="5"/>
      <c r="E10" s="5"/>
      <c r="F10" s="5"/>
    </row>
    <row r="11" ht="12" customHeight="1" spans="1:7">
      <c r="A11" s="13" t="s">
        <v>3</v>
      </c>
      <c r="B11" s="14"/>
      <c r="C11" s="9" t="s">
        <v>275</v>
      </c>
      <c r="D11" s="7"/>
      <c r="E11" s="7"/>
      <c r="F11" s="7"/>
    </row>
    <row r="12" customHeight="1" spans="1:7">
      <c r="A12" s="13" t="s">
        <v>4</v>
      </c>
      <c r="B12" s="14"/>
      <c r="C12" s="6" t="s">
        <v>5</v>
      </c>
      <c r="D12" s="5"/>
      <c r="E12" s="5"/>
      <c r="F12" s="60"/>
    </row>
    <row r="13" ht="15" customHeight="1" spans="1:7">
      <c r="A13" s="7" t="s">
        <v>6</v>
      </c>
      <c r="B13" s="8"/>
      <c r="C13" s="9"/>
      <c r="D13" s="7"/>
      <c r="E13" s="7"/>
      <c r="F13" s="7"/>
    </row>
    <row r="14" ht="15" customHeight="1" spans="1:7">
      <c r="A14" s="5" t="s">
        <v>7</v>
      </c>
      <c r="B14" s="10"/>
      <c r="C14" s="6" t="s">
        <v>54</v>
      </c>
      <c r="D14" s="60"/>
      <c r="E14" s="60"/>
      <c r="F14" s="60"/>
    </row>
    <row r="15" ht="14.25" customHeight="1" spans="1:7">
      <c r="A15" s="13" t="s">
        <v>253</v>
      </c>
      <c r="B15" s="14"/>
      <c r="C15" s="58"/>
      <c r="D15" s="59"/>
      <c r="E15" s="59"/>
      <c r="F15" s="59"/>
    </row>
    <row r="16" ht="14.25" customHeight="1" spans="1:7">
      <c r="A16" s="13" t="s">
        <v>276</v>
      </c>
      <c r="B16" s="14"/>
      <c r="C16" s="238" t="s">
        <v>12</v>
      </c>
      <c r="D16" s="239"/>
      <c r="E16" s="239"/>
      <c r="F16" s="239"/>
    </row>
    <row r="17" ht="14.25" customHeight="1" spans="1:6">
      <c r="A17" s="7" t="s">
        <v>277</v>
      </c>
      <c r="B17" s="8"/>
      <c r="C17" s="63" t="s">
        <v>14</v>
      </c>
      <c r="D17" s="13"/>
      <c r="E17" s="13"/>
      <c r="F17" s="13"/>
    </row>
    <row r="18" ht="14.25" customHeight="1" spans="1:6">
      <c r="A18" s="12"/>
      <c r="B18" s="17"/>
      <c r="C18" s="240"/>
      <c r="D18" s="56"/>
      <c r="E18" s="56"/>
      <c r="F18" s="56"/>
    </row>
    <row r="19" ht="19.5" customHeight="1" spans="1:6">
      <c r="A19" s="5" t="s">
        <v>15</v>
      </c>
      <c r="B19" s="10"/>
      <c r="C19" s="241"/>
      <c r="D19" s="242"/>
      <c r="E19" s="242"/>
      <c r="F19" s="242"/>
    </row>
    <row r="20" ht="14.25" customHeight="1" spans="1:6">
      <c r="A20" s="13" t="s">
        <v>16</v>
      </c>
      <c r="B20" s="14"/>
      <c r="C20" s="241"/>
      <c r="D20" s="242"/>
      <c r="E20" s="242"/>
      <c r="F20" s="242"/>
    </row>
    <row r="21" ht="14.25" customHeight="1" spans="1:6">
      <c r="A21" s="13"/>
      <c r="B21" s="14"/>
      <c r="C21" s="241"/>
      <c r="D21" s="242"/>
      <c r="E21" s="242"/>
      <c r="F21" s="242"/>
    </row>
    <row r="22" ht="14.25" customHeight="1" spans="1:6">
      <c r="A22" s="7"/>
      <c r="B22" s="8"/>
      <c r="C22" s="241"/>
      <c r="D22" s="242"/>
      <c r="E22" s="242"/>
      <c r="F22" s="56"/>
    </row>
    <row r="23" spans="1:6">
      <c r="A23" s="10" t="s">
        <v>17</v>
      </c>
      <c r="B23" s="18" t="s">
        <v>18</v>
      </c>
      <c r="C23" s="243"/>
      <c r="D23" s="244"/>
      <c r="E23" s="244"/>
      <c r="F23" s="244"/>
    </row>
    <row r="24" ht="13.15" customHeight="1" spans="1:6">
      <c r="A24" s="19" t="s">
        <v>19</v>
      </c>
      <c r="B24" s="20" t="s">
        <v>278</v>
      </c>
      <c r="C24" s="241"/>
      <c r="D24" s="242"/>
      <c r="E24" s="242"/>
      <c r="F24" s="56"/>
    </row>
    <row r="25" ht="16.5" customHeight="1" spans="1:6">
      <c r="A25" s="10" t="s">
        <v>21</v>
      </c>
      <c r="B25" s="18" t="s">
        <v>22</v>
      </c>
      <c r="C25" s="245"/>
      <c r="D25" s="56"/>
      <c r="E25" s="56"/>
      <c r="F25" s="56"/>
    </row>
    <row r="26" spans="1:6">
      <c r="A26" s="21"/>
      <c r="B26" s="22" t="s">
        <v>279</v>
      </c>
      <c r="C26" s="246"/>
      <c r="D26" s="247"/>
      <c r="E26" s="247"/>
      <c r="F26" s="247"/>
    </row>
    <row r="27" spans="1:6">
      <c r="A27" s="23" t="s">
        <v>24</v>
      </c>
      <c r="B27" s="24" t="s">
        <v>25</v>
      </c>
      <c r="C27" s="25" t="s">
        <v>26</v>
      </c>
      <c r="D27" s="248" t="s">
        <v>27</v>
      </c>
      <c r="E27" s="23"/>
      <c r="F27" s="28" t="s">
        <v>28</v>
      </c>
    </row>
    <row r="28" ht="12" customHeight="1" spans="1:6">
      <c r="A28" s="29"/>
      <c r="B28" s="36"/>
      <c r="C28" s="36" t="s">
        <v>206</v>
      </c>
      <c r="D28" s="36" t="s">
        <v>235</v>
      </c>
      <c r="E28" s="36"/>
      <c r="F28" s="64" t="s">
        <v>31</v>
      </c>
    </row>
    <row r="29" ht="6" customHeight="1" spans="1:6">
      <c r="A29" s="29"/>
      <c r="B29" s="29"/>
      <c r="C29" s="29"/>
      <c r="D29" s="29"/>
      <c r="E29" s="29"/>
      <c r="F29" s="29"/>
    </row>
    <row r="30" ht="11.25" customHeight="1" spans="1:6">
      <c r="A30" s="29" t="s">
        <v>32</v>
      </c>
      <c r="B30" s="29"/>
      <c r="C30" s="29"/>
      <c r="D30" s="30" t="s">
        <v>280</v>
      </c>
      <c r="E30" s="30"/>
      <c r="F30" s="30"/>
    </row>
    <row r="31" ht="40.5" customHeight="1" spans="1:6">
      <c r="A31" s="35"/>
      <c r="B31" s="30" t="s">
        <v>281</v>
      </c>
      <c r="C31" s="31">
        <v>5</v>
      </c>
      <c r="D31" s="249">
        <f>F31/C31</f>
        <v>156</v>
      </c>
      <c r="E31" s="250"/>
      <c r="F31" s="65">
        <v>780</v>
      </c>
    </row>
    <row r="32" ht="15" customHeight="1" spans="1:6">
      <c r="A32" s="34"/>
      <c r="B32" s="34"/>
      <c r="C32" s="31"/>
      <c r="D32" s="52"/>
      <c r="E32" s="52"/>
      <c r="F32" s="31"/>
    </row>
    <row r="33" ht="15" customHeight="1" spans="1:9">
      <c r="A33" s="30" t="s">
        <v>35</v>
      </c>
      <c r="B33" s="30"/>
      <c r="C33" s="36"/>
      <c r="D33" s="35"/>
      <c r="E33" s="35"/>
      <c r="F33" s="35"/>
    </row>
    <row r="34" ht="15" customHeight="1" spans="1:9">
      <c r="A34" s="37"/>
      <c r="B34" s="37"/>
      <c r="C34" s="37"/>
      <c r="D34" s="38"/>
      <c r="E34" s="38"/>
      <c r="F34" s="38"/>
    </row>
    <row r="35" ht="15" customHeight="1" spans="1:9">
      <c r="A35" s="35"/>
      <c r="B35" s="36" t="s">
        <v>36</v>
      </c>
      <c r="C35" s="36">
        <f>SUM(C31:C34)</f>
        <v>5</v>
      </c>
      <c r="D35" s="36"/>
      <c r="E35" s="36"/>
      <c r="F35" s="68">
        <f>SUM(F31:F34)</f>
        <v>780</v>
      </c>
    </row>
    <row r="36" ht="15" customHeight="1" spans="1:9">
      <c r="A36" s="35"/>
      <c r="B36" s="36"/>
      <c r="C36" s="36"/>
      <c r="D36" s="36"/>
      <c r="E36" s="36"/>
      <c r="F36" s="251"/>
    </row>
    <row r="37" spans="1:9">
      <c r="A37" s="240" t="s">
        <v>38</v>
      </c>
      <c r="B37" s="56"/>
      <c r="C37" s="56"/>
      <c r="D37" s="56"/>
      <c r="E37" s="237"/>
      <c r="F37" s="237"/>
    </row>
    <row r="38" spans="1:9">
      <c r="A38" s="67" t="s">
        <v>39</v>
      </c>
      <c r="B38" s="56"/>
      <c r="C38" s="56"/>
      <c r="D38" s="56"/>
      <c r="E38" s="237"/>
      <c r="F38" s="237"/>
    </row>
    <row r="39" spans="1:9">
      <c r="A39" s="67" t="s">
        <v>40</v>
      </c>
      <c r="B39" s="56"/>
      <c r="C39" s="56"/>
      <c r="D39" s="56"/>
      <c r="E39" s="237"/>
      <c r="F39" s="237"/>
    </row>
    <row r="40" spans="1:9">
      <c r="A40" s="67" t="s">
        <v>41</v>
      </c>
      <c r="B40" s="56"/>
      <c r="C40" s="56"/>
      <c r="D40" s="56"/>
      <c r="E40" s="237"/>
      <c r="F40" s="237"/>
      <c r="I40" s="55"/>
    </row>
    <row r="41" spans="1:9">
      <c r="A41" s="67" t="s">
        <v>42</v>
      </c>
      <c r="B41" s="56"/>
      <c r="C41" s="56"/>
      <c r="D41" s="56"/>
      <c r="E41" s="237"/>
      <c r="F41" s="237"/>
      <c r="H41" s="55"/>
      <c r="I41" s="55"/>
    </row>
    <row r="42" spans="1:9">
      <c r="A42" s="252" t="s">
        <v>43</v>
      </c>
      <c r="B42" s="253"/>
      <c r="C42" s="253"/>
      <c r="D42" s="253"/>
      <c r="E42" s="237"/>
      <c r="F42" s="237"/>
      <c r="H42" s="55"/>
      <c r="I42" s="55"/>
    </row>
    <row r="43" spans="1:9">
      <c r="A43" s="67" t="s">
        <v>44</v>
      </c>
      <c r="B43" s="56"/>
      <c r="C43" s="56"/>
      <c r="D43" s="56"/>
      <c r="E43" s="254"/>
      <c r="F43" s="237"/>
    </row>
    <row r="44" spans="1:9">
      <c r="A44" s="67"/>
      <c r="B44" s="56"/>
      <c r="C44" s="56"/>
      <c r="D44" s="56"/>
      <c r="E44" s="254"/>
      <c r="F44" s="237"/>
    </row>
    <row r="45" spans="1:9">
      <c r="A45" s="1" t="s">
        <v>282</v>
      </c>
      <c r="B45" s="237"/>
      <c r="C45" s="237" t="s">
        <v>283</v>
      </c>
      <c r="D45" s="237"/>
      <c r="F45" s="237"/>
    </row>
    <row r="46" spans="1:9">
      <c r="A46" s="237"/>
      <c r="B46" s="237"/>
      <c r="C46" s="237"/>
      <c r="D46" s="237"/>
      <c r="F46" s="237"/>
    </row>
    <row r="47" spans="1:9">
      <c r="A47" s="237"/>
      <c r="B47" s="237"/>
      <c r="C47" s="237"/>
      <c r="D47" s="237"/>
      <c r="F47" s="237"/>
    </row>
    <row r="48" spans="1:9">
      <c r="A48" s="55" t="s">
        <v>47</v>
      </c>
      <c r="B48" s="237"/>
      <c r="C48" s="55" t="s">
        <v>47</v>
      </c>
      <c r="D48" s="237"/>
      <c r="F48" s="237"/>
    </row>
    <row r="49" spans="1:6">
      <c r="A49" s="255"/>
      <c r="B49" s="256"/>
      <c r="C49" s="254"/>
      <c r="D49" s="254"/>
      <c r="E49" s="237"/>
      <c r="F49" s="237"/>
    </row>
    <row r="50" spans="1:6">
      <c r="A50" s="257"/>
      <c r="B50" s="258"/>
    </row>
    <row r="51" spans="1:6">
      <c r="A51" s="258"/>
      <c r="B51" s="258"/>
    </row>
  </sheetData>
  <mergeCells count="26">
    <mergeCell ref="A10:B10"/>
    <mergeCell ref="C10:F10"/>
    <mergeCell ref="A11:B11"/>
    <mergeCell ref="C11:F11"/>
    <mergeCell ref="A12:B12"/>
    <mergeCell ref="A13:B13"/>
    <mergeCell ref="C13:F13"/>
    <mergeCell ref="C14:F14"/>
    <mergeCell ref="A15:B15"/>
    <mergeCell ref="C15:F15"/>
    <mergeCell ref="A16:B16"/>
    <mergeCell ref="A17:B17"/>
    <mergeCell ref="C17:F17"/>
    <mergeCell ref="A18:B18"/>
    <mergeCell ref="A19:B19"/>
    <mergeCell ref="A20:B20"/>
    <mergeCell ref="A21:B21"/>
    <mergeCell ref="A22:B22"/>
    <mergeCell ref="C23:F23"/>
    <mergeCell ref="D27:E27"/>
    <mergeCell ref="A29:F29"/>
    <mergeCell ref="D30:F30"/>
    <mergeCell ref="A33:B33"/>
    <mergeCell ref="A34:B34"/>
    <mergeCell ref="A42:D42"/>
    <mergeCell ref="A2:F8"/>
  </mergeCells>
  <pageMargins left="0.47244094488189" right="0.393700787401575" top="0.393700787401575" bottom="0.393700787401575" header="0.511811023622047" footer="0.511811023622047"/>
  <pageSetup paperSize="9" orientation="portrait" verticalDpi="12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6"/>
  <sheetViews>
    <sheetView topLeftCell="A4" workbookViewId="0">
      <selection activeCell="A23" sqref="A17:F29"/>
    </sheetView>
  </sheetViews>
  <sheetFormatPr defaultColWidth="9" defaultRowHeight="15.75"/>
  <cols>
    <col min="1" max="1" width="21.75" customWidth="1"/>
    <col min="2" max="2" width="23.375" customWidth="1"/>
    <col min="3" max="3" width="7.5" customWidth="1"/>
    <col min="4" max="4" width="3.5" customWidth="1"/>
    <col min="5" max="5" width="14.125" customWidth="1"/>
    <col min="6" max="6" width="13.625" customWidth="1"/>
  </cols>
  <sheetData>
    <row r="2" customHeight="1" spans="1:6">
      <c r="A2" s="2" t="s">
        <v>48</v>
      </c>
      <c r="B2" s="2"/>
      <c r="C2" s="2"/>
      <c r="D2" s="2"/>
      <c r="E2" s="2"/>
      <c r="F2" s="2"/>
    </row>
    <row r="3" customHeight="1" spans="1:6">
      <c r="A3" s="2"/>
      <c r="B3" s="2"/>
      <c r="C3" s="2"/>
      <c r="D3" s="2"/>
      <c r="E3" s="2"/>
      <c r="F3" s="2"/>
    </row>
    <row r="4" customHeight="1" spans="1:6">
      <c r="A4" s="2"/>
      <c r="B4" s="2"/>
      <c r="C4" s="2"/>
      <c r="D4" s="2"/>
      <c r="E4" s="2"/>
      <c r="F4" s="2"/>
    </row>
    <row r="5" customHeight="1" spans="1:6">
      <c r="A5" s="2"/>
      <c r="B5" s="2"/>
      <c r="C5" s="2"/>
      <c r="D5" s="2"/>
      <c r="E5" s="2"/>
      <c r="F5" s="2"/>
    </row>
    <row r="6" customHeight="1" spans="1:6">
      <c r="A6" s="2"/>
      <c r="B6" s="2"/>
      <c r="C6" s="2"/>
      <c r="D6" s="2"/>
      <c r="E6" s="2"/>
      <c r="F6" s="2"/>
    </row>
    <row r="7" ht="2.25" customHeight="1" spans="1:6">
      <c r="A7" s="2"/>
      <c r="B7" s="2"/>
      <c r="C7" s="2"/>
      <c r="D7" s="2"/>
      <c r="E7" s="2"/>
      <c r="F7" s="2"/>
    </row>
    <row r="8" ht="13.5" hidden="1" customHeight="1" spans="1:6">
      <c r="A8" s="2"/>
      <c r="B8" s="2"/>
      <c r="C8" s="2"/>
      <c r="D8" s="2"/>
      <c r="E8" s="2"/>
      <c r="F8" s="2"/>
    </row>
    <row r="9" ht="17.25" hidden="1" customHeight="1" spans="1:6">
      <c r="A9" s="2"/>
      <c r="B9" s="2"/>
      <c r="C9" s="2"/>
      <c r="D9" s="2"/>
      <c r="E9" s="2"/>
      <c r="F9" s="2"/>
    </row>
    <row r="10" ht="13.5" customHeight="1" spans="1:6">
      <c r="A10" s="134"/>
    </row>
    <row r="11" ht="15" customHeight="1" spans="1:6">
      <c r="A11" s="5" t="s">
        <v>1</v>
      </c>
      <c r="B11" s="5"/>
      <c r="C11" s="6" t="s">
        <v>2</v>
      </c>
      <c r="D11" s="5"/>
      <c r="E11" s="5"/>
      <c r="F11" s="5"/>
    </row>
    <row r="12" ht="14.25" customHeight="1" spans="1:6">
      <c r="A12" s="13" t="s">
        <v>3</v>
      </c>
      <c r="B12" s="14"/>
      <c r="C12" s="58" t="s">
        <v>284</v>
      </c>
      <c r="D12" s="59"/>
      <c r="E12" s="59"/>
      <c r="F12" s="59"/>
    </row>
    <row r="13" ht="14.25" customHeight="1" spans="1:6">
      <c r="A13" s="13" t="s">
        <v>50</v>
      </c>
      <c r="B13" s="14"/>
      <c r="C13" s="120" t="s">
        <v>5</v>
      </c>
      <c r="D13" s="121"/>
      <c r="E13" s="121"/>
      <c r="F13" s="121"/>
    </row>
    <row r="14" ht="15" customHeight="1" spans="1:6">
      <c r="A14" s="7" t="s">
        <v>52</v>
      </c>
      <c r="B14" s="8"/>
      <c r="C14" s="9"/>
      <c r="D14" s="7"/>
      <c r="E14" s="7"/>
      <c r="F14" s="7"/>
    </row>
    <row r="15" ht="15" customHeight="1" spans="1:6">
      <c r="A15" s="116"/>
      <c r="B15" s="117"/>
      <c r="C15" s="6" t="s">
        <v>54</v>
      </c>
      <c r="D15" s="5"/>
      <c r="E15" s="60"/>
      <c r="F15" s="60"/>
    </row>
    <row r="16" ht="14.25" customHeight="1" spans="1:6">
      <c r="A16" s="5" t="s">
        <v>7</v>
      </c>
      <c r="B16" s="10"/>
      <c r="C16" s="58" t="s">
        <v>285</v>
      </c>
      <c r="D16" s="59"/>
      <c r="E16" s="59"/>
      <c r="F16" s="59"/>
    </row>
    <row r="17" ht="14.25" customHeight="1" spans="1:6">
      <c r="A17" s="13" t="s">
        <v>286</v>
      </c>
      <c r="B17" s="14"/>
      <c r="C17" s="61" t="s">
        <v>57</v>
      </c>
      <c r="D17" s="62"/>
      <c r="E17" s="62"/>
      <c r="F17" s="62"/>
    </row>
    <row r="18" ht="14.25" customHeight="1" spans="1:6">
      <c r="A18" s="13" t="s">
        <v>287</v>
      </c>
      <c r="B18" s="14"/>
      <c r="C18" s="63"/>
      <c r="D18" s="13"/>
      <c r="E18" s="13"/>
      <c r="F18" s="13"/>
    </row>
    <row r="19" ht="14.25" customHeight="1" spans="1:6">
      <c r="A19" s="13" t="s">
        <v>288</v>
      </c>
      <c r="B19" s="14"/>
      <c r="C19" s="63"/>
      <c r="D19" s="13"/>
      <c r="E19" s="13"/>
      <c r="F19" s="13"/>
    </row>
    <row r="20" ht="14.25" customHeight="1" spans="1:6">
      <c r="A20" s="13"/>
      <c r="B20" s="14"/>
      <c r="C20" s="63"/>
      <c r="D20" s="13"/>
      <c r="E20" s="13"/>
      <c r="F20" s="13"/>
    </row>
    <row r="21" ht="19.5" customHeight="1" spans="1:6">
      <c r="A21" s="5" t="s">
        <v>15</v>
      </c>
      <c r="B21" s="10"/>
      <c r="C21" s="63"/>
      <c r="D21" s="13"/>
      <c r="E21" s="13"/>
      <c r="F21" s="13"/>
    </row>
    <row r="22" ht="14.25" customHeight="1" spans="1:6">
      <c r="A22" s="13" t="s">
        <v>286</v>
      </c>
      <c r="B22" s="14"/>
      <c r="C22" s="63"/>
      <c r="D22" s="13"/>
      <c r="E22" s="13"/>
      <c r="F22" s="13"/>
    </row>
    <row r="23" ht="14.25" customHeight="1" spans="1:6">
      <c r="A23" s="13" t="s">
        <v>287</v>
      </c>
      <c r="B23" s="14"/>
      <c r="C23" s="63"/>
      <c r="D23" s="13"/>
      <c r="E23" s="13"/>
      <c r="F23" s="13"/>
    </row>
    <row r="24" ht="14.25" customHeight="1" spans="1:6">
      <c r="A24" s="13" t="s">
        <v>288</v>
      </c>
      <c r="B24" s="14"/>
      <c r="C24" s="63"/>
      <c r="D24" s="13"/>
      <c r="E24" s="13"/>
      <c r="F24" s="13"/>
    </row>
    <row r="25" ht="14.25" customHeight="1" spans="1:6">
      <c r="A25" s="13"/>
      <c r="B25" s="14"/>
      <c r="C25" s="63"/>
      <c r="D25" s="13"/>
      <c r="E25" s="13"/>
      <c r="F25" s="13"/>
    </row>
    <row r="26" spans="1:6">
      <c r="A26" s="10" t="s">
        <v>17</v>
      </c>
      <c r="B26" s="18" t="s">
        <v>18</v>
      </c>
      <c r="C26" s="63"/>
      <c r="D26" s="13"/>
      <c r="E26" s="13"/>
      <c r="F26" s="13"/>
    </row>
    <row r="27" ht="14.25" customHeight="1" spans="1:6">
      <c r="A27" s="19" t="s">
        <v>289</v>
      </c>
      <c r="B27" s="19"/>
      <c r="C27" s="63"/>
      <c r="D27" s="13"/>
      <c r="E27" s="13"/>
      <c r="F27" s="13"/>
    </row>
    <row r="28" ht="13.5" customHeight="1" spans="1:6">
      <c r="A28" s="10" t="s">
        <v>21</v>
      </c>
      <c r="B28" s="18" t="s">
        <v>22</v>
      </c>
      <c r="C28" s="63"/>
      <c r="D28" s="13"/>
      <c r="E28" s="13"/>
      <c r="F28" s="13"/>
    </row>
    <row r="29" spans="1:6">
      <c r="A29" s="21"/>
      <c r="B29" s="22" t="s">
        <v>290</v>
      </c>
      <c r="C29" s="58"/>
      <c r="D29" s="59"/>
      <c r="E29" s="59"/>
      <c r="F29" s="59"/>
    </row>
    <row r="30" spans="1:6">
      <c r="A30" s="23" t="s">
        <v>24</v>
      </c>
      <c r="B30" s="24" t="s">
        <v>25</v>
      </c>
      <c r="C30" s="27" t="s">
        <v>26</v>
      </c>
      <c r="D30" s="201"/>
      <c r="E30" s="25" t="s">
        <v>27</v>
      </c>
      <c r="F30" s="28" t="s">
        <v>28</v>
      </c>
    </row>
    <row r="31" ht="12" customHeight="1" spans="1:6">
      <c r="A31" s="29"/>
      <c r="B31" s="36"/>
      <c r="C31" s="36" t="s">
        <v>29</v>
      </c>
      <c r="D31" s="36"/>
      <c r="E31" s="36" t="s">
        <v>30</v>
      </c>
      <c r="F31" s="64" t="s">
        <v>31</v>
      </c>
    </row>
    <row r="32" ht="6" customHeight="1" spans="1:6">
      <c r="A32" s="29"/>
      <c r="B32" s="29"/>
      <c r="C32" s="29"/>
      <c r="D32" s="29"/>
      <c r="E32" s="29"/>
      <c r="F32" s="29"/>
    </row>
    <row r="33" ht="11.25" customHeight="1" spans="1:10">
      <c r="A33" s="29"/>
      <c r="B33" s="29"/>
      <c r="C33" s="29" t="s">
        <v>291</v>
      </c>
      <c r="D33" s="29"/>
      <c r="E33" s="30" t="s">
        <v>292</v>
      </c>
      <c r="F33" s="30"/>
    </row>
    <row r="34" ht="15" customHeight="1" spans="1:10">
      <c r="B34" s="213" t="s">
        <v>293</v>
      </c>
      <c r="C34" s="236">
        <v>132</v>
      </c>
      <c r="D34" s="31"/>
      <c r="E34" s="65">
        <v>1070</v>
      </c>
      <c r="F34" s="66">
        <f>C34*E34</f>
        <v>141240</v>
      </c>
    </row>
    <row r="35" ht="11.25" customHeight="1" spans="1:10">
      <c r="A35" s="35" t="s">
        <v>32</v>
      </c>
      <c r="B35" s="35" t="s">
        <v>294</v>
      </c>
      <c r="C35" s="35"/>
      <c r="D35" s="35"/>
      <c r="E35" s="35"/>
      <c r="F35" s="66"/>
    </row>
    <row r="36" ht="15" customHeight="1" spans="1:10">
      <c r="A36" s="34"/>
      <c r="B36" s="136" t="s">
        <v>295</v>
      </c>
      <c r="C36" s="31"/>
      <c r="D36" s="31"/>
      <c r="E36" s="65"/>
      <c r="F36" s="66"/>
      <c r="J36" s="214"/>
    </row>
    <row r="37" ht="15" customHeight="1" spans="1:10">
      <c r="A37" s="34"/>
      <c r="B37" s="35" t="s">
        <v>296</v>
      </c>
      <c r="C37" s="35"/>
      <c r="D37" s="35"/>
      <c r="E37" s="65"/>
      <c r="F37" s="66"/>
    </row>
    <row r="38" ht="15" customHeight="1" spans="1:10">
      <c r="A38" s="35"/>
      <c r="B38" s="30"/>
      <c r="C38" s="30"/>
      <c r="D38" s="30"/>
      <c r="E38" s="30"/>
      <c r="F38" s="31"/>
    </row>
    <row r="39" ht="15" customHeight="1" spans="1:10">
      <c r="A39" s="35"/>
      <c r="B39" s="35"/>
      <c r="C39" s="31"/>
      <c r="D39" s="31"/>
      <c r="E39" s="52"/>
      <c r="F39" s="31"/>
    </row>
    <row r="40" ht="15" customHeight="1" spans="1:10">
      <c r="A40" s="30"/>
      <c r="B40" s="30"/>
      <c r="C40" s="36"/>
      <c r="D40" s="36"/>
      <c r="E40" s="35"/>
      <c r="F40" s="35"/>
    </row>
    <row r="41" ht="15" customHeight="1" spans="1:10">
      <c r="A41" s="37"/>
      <c r="B41" s="37"/>
      <c r="C41" s="37"/>
      <c r="D41" s="37"/>
      <c r="E41" s="38"/>
      <c r="F41" s="38"/>
    </row>
    <row r="42" ht="22.5" customHeight="1" spans="1:10">
      <c r="A42" s="35"/>
      <c r="B42" s="36" t="s">
        <v>36</v>
      </c>
      <c r="C42" s="36">
        <f>C34</f>
        <v>132</v>
      </c>
      <c r="D42" s="36" t="s">
        <v>29</v>
      </c>
      <c r="E42" s="36" t="s">
        <v>297</v>
      </c>
      <c r="F42" s="215">
        <f>F34</f>
        <v>141240</v>
      </c>
    </row>
    <row r="46" spans="1:10">
      <c r="E46" s="55" t="s">
        <v>47</v>
      </c>
    </row>
  </sheetData>
  <mergeCells count="27"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A18:B18"/>
    <mergeCell ref="A19:B19"/>
    <mergeCell ref="A21:B21"/>
    <mergeCell ref="A22:B22"/>
    <mergeCell ref="A23:B23"/>
    <mergeCell ref="A24:B24"/>
    <mergeCell ref="C30:D30"/>
    <mergeCell ref="A32:F32"/>
    <mergeCell ref="E33:F33"/>
    <mergeCell ref="B38:E38"/>
    <mergeCell ref="A40:B40"/>
    <mergeCell ref="A41:B41"/>
    <mergeCell ref="C17:F29"/>
    <mergeCell ref="A2:F9"/>
  </mergeCells>
  <printOptions horizontalCentered="1"/>
  <pageMargins left="0.393700787401575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8"/>
  <sheetViews>
    <sheetView zoomScale="106" zoomScaleNormal="106" workbookViewId="0">
      <selection activeCell="A23" sqref="A12:H25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2.75" style="1" customWidth="1"/>
    <col min="6" max="6" width="8.56666666666667" style="1" customWidth="1"/>
    <col min="7" max="7" width="3.441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5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298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116"/>
      <c r="B11" s="11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286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287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3" t="s">
        <v>288</v>
      </c>
      <c r="B15" s="14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3"/>
      <c r="B16" s="14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286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 t="s">
        <v>287</v>
      </c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13" t="s">
        <v>288</v>
      </c>
      <c r="B20" s="14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3"/>
      <c r="B21" s="14"/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0" t="s">
        <v>17</v>
      </c>
      <c r="B22" s="18" t="s">
        <v>18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9" t="s">
        <v>289</v>
      </c>
      <c r="B23" s="19"/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10" t="s">
        <v>21</v>
      </c>
      <c r="B24" s="18" t="s">
        <v>22</v>
      </c>
      <c r="C24" s="15"/>
      <c r="D24" s="16"/>
      <c r="E24" s="16"/>
      <c r="F24" s="16"/>
      <c r="G24" s="16"/>
      <c r="H24" s="16"/>
      <c r="I24" s="16"/>
    </row>
    <row r="25" customFormat="1" ht="15.75" spans="1:10">
      <c r="A25" s="21"/>
      <c r="B25" s="22" t="s">
        <v>290</v>
      </c>
      <c r="C25" s="15"/>
      <c r="D25" s="16"/>
      <c r="E25" s="16"/>
      <c r="F25" s="16"/>
      <c r="G25" s="16"/>
      <c r="H25" s="16"/>
      <c r="I25" s="16"/>
    </row>
    <row r="26" customFormat="1" ht="20.25" customHeight="1" spans="1:10">
      <c r="A26" s="23" t="s">
        <v>24</v>
      </c>
      <c r="B26" s="24" t="s">
        <v>25</v>
      </c>
      <c r="C26" s="25" t="s">
        <v>71</v>
      </c>
      <c r="D26" s="27" t="s">
        <v>72</v>
      </c>
      <c r="E26" s="201"/>
      <c r="F26" s="27" t="s">
        <v>73</v>
      </c>
      <c r="G26" s="201"/>
      <c r="H26" s="28" t="s">
        <v>103</v>
      </c>
      <c r="I26" s="202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12" customHeight="1" spans="1:10">
      <c r="A28"/>
      <c r="B28" s="213" t="s">
        <v>293</v>
      </c>
      <c r="C28" s="31"/>
      <c r="D28" s="32"/>
      <c r="E28" s="32"/>
      <c r="F28" s="32"/>
      <c r="G28" s="32"/>
      <c r="H28" s="33"/>
      <c r="I28" s="33"/>
      <c r="J28" s="31"/>
    </row>
    <row r="29" ht="12" customHeight="1" spans="1:10">
      <c r="A29" s="35" t="s">
        <v>32</v>
      </c>
      <c r="B29" s="35" t="s">
        <v>299</v>
      </c>
      <c r="C29" s="31"/>
      <c r="D29" s="32"/>
      <c r="E29" s="32"/>
      <c r="F29" s="32"/>
      <c r="G29" s="32"/>
      <c r="H29" s="33"/>
      <c r="I29" s="33"/>
      <c r="J29" s="31"/>
    </row>
    <row r="30" spans="1:10">
      <c r="A30" s="34"/>
      <c r="B30" s="136" t="s">
        <v>295</v>
      </c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34"/>
      <c r="B31" s="35" t="s">
        <v>296</v>
      </c>
      <c r="C31" s="35"/>
      <c r="D31" s="35"/>
      <c r="E31" s="35"/>
      <c r="F31" s="35"/>
      <c r="G31" s="35"/>
      <c r="H31" s="35"/>
      <c r="I31" s="35"/>
      <c r="J31" s="35"/>
    </row>
    <row r="32" s="67" customFormat="1" ht="10.5" customHeight="1" spans="1:10">
      <c r="A32" s="35"/>
      <c r="B32" s="39"/>
      <c r="C32" s="39"/>
      <c r="D32" s="203"/>
      <c r="E32" s="203"/>
      <c r="F32" s="39"/>
      <c r="G32" s="39"/>
      <c r="H32" s="39"/>
      <c r="I32" s="35"/>
      <c r="J32" s="35"/>
    </row>
    <row r="33" s="67" customFormat="1" ht="12" customHeight="1" spans="1:10">
      <c r="A33" s="35"/>
      <c r="B33" s="204"/>
      <c r="C33" s="205"/>
      <c r="D33" s="206"/>
      <c r="E33" s="206"/>
      <c r="F33" s="206"/>
      <c r="G33" s="206"/>
      <c r="H33" s="207"/>
      <c r="I33" s="34"/>
      <c r="J33" s="35"/>
    </row>
    <row r="34" s="67" customFormat="1" ht="11.25" spans="1:10">
      <c r="B34" s="204"/>
      <c r="C34" s="208"/>
      <c r="D34" s="206"/>
      <c r="E34" s="206"/>
      <c r="F34" s="206"/>
      <c r="G34" s="206"/>
      <c r="H34" s="207"/>
      <c r="I34" s="34"/>
    </row>
    <row r="35" s="67" customFormat="1" ht="11.25" spans="1:10">
      <c r="A35" s="35"/>
      <c r="B35" s="204"/>
      <c r="C35" s="205"/>
      <c r="D35" s="206"/>
      <c r="E35" s="206"/>
      <c r="F35" s="206"/>
      <c r="G35" s="206"/>
      <c r="H35" s="207"/>
      <c r="I35" s="34"/>
      <c r="J35" s="35"/>
    </row>
    <row r="36" s="67" customFormat="1" ht="12" customHeight="1" spans="1:10">
      <c r="A36" s="35"/>
      <c r="B36" s="204"/>
      <c r="C36" s="205"/>
      <c r="D36" s="206"/>
      <c r="E36" s="206"/>
      <c r="F36" s="206"/>
      <c r="G36" s="206"/>
      <c r="H36" s="207"/>
      <c r="I36" s="34"/>
      <c r="J36" s="35"/>
    </row>
    <row r="37" s="67" customFormat="1" ht="12" customHeight="1" spans="1:10">
      <c r="A37" s="35"/>
      <c r="B37" s="204"/>
      <c r="C37" s="205"/>
      <c r="D37" s="206"/>
      <c r="E37" s="206"/>
      <c r="F37" s="206"/>
      <c r="G37" s="206"/>
      <c r="H37" s="207"/>
      <c r="I37" s="34"/>
      <c r="J37" s="35"/>
    </row>
    <row r="38" s="67" customFormat="1" ht="12" customHeight="1" spans="1:10">
      <c r="A38" s="35"/>
      <c r="B38" s="204"/>
      <c r="C38" s="205"/>
      <c r="D38" s="206"/>
      <c r="E38" s="206"/>
      <c r="F38" s="206"/>
      <c r="G38" s="206"/>
      <c r="H38" s="207"/>
      <c r="I38" s="34"/>
      <c r="J38" s="35"/>
    </row>
    <row r="39" s="67" customFormat="1" ht="12" customHeight="1" spans="1:10">
      <c r="A39" s="35"/>
      <c r="B39" s="204"/>
      <c r="C39" s="205"/>
      <c r="D39" s="206"/>
      <c r="E39" s="206"/>
      <c r="F39" s="206"/>
      <c r="G39" s="206"/>
      <c r="H39" s="207"/>
      <c r="I39" s="34"/>
      <c r="J39" s="35"/>
    </row>
    <row r="40" s="67" customFormat="1" ht="12" customHeight="1" spans="1:10">
      <c r="A40" s="35"/>
      <c r="B40" s="204"/>
      <c r="C40" s="205"/>
      <c r="D40" s="206"/>
      <c r="E40" s="206"/>
      <c r="F40" s="206"/>
      <c r="G40" s="206"/>
      <c r="H40" s="207"/>
      <c r="I40" s="34"/>
      <c r="J40" s="35"/>
    </row>
    <row r="41" s="67" customFormat="1" ht="12" customHeight="1" spans="1:10">
      <c r="A41" s="35"/>
      <c r="B41" s="204"/>
      <c r="C41" s="205"/>
      <c r="D41" s="206"/>
      <c r="E41" s="206"/>
      <c r="F41" s="206"/>
      <c r="G41" s="206"/>
      <c r="H41" s="207"/>
      <c r="I41" s="34"/>
      <c r="J41" s="35"/>
    </row>
    <row r="42" s="67" customFormat="1" ht="12" customHeight="1" spans="1:10">
      <c r="A42" s="35"/>
      <c r="B42" s="204"/>
      <c r="C42" s="205"/>
      <c r="D42" s="206"/>
      <c r="E42" s="206"/>
      <c r="F42" s="206"/>
      <c r="G42" s="206"/>
      <c r="H42" s="207"/>
      <c r="I42" s="34"/>
      <c r="J42" s="35"/>
    </row>
    <row r="43" ht="12.35" spans="1:10">
      <c r="A43" s="37"/>
      <c r="B43" s="37"/>
      <c r="C43" s="37"/>
      <c r="D43" s="38"/>
      <c r="E43" s="38"/>
      <c r="F43" s="38"/>
      <c r="G43" s="39"/>
      <c r="H43" s="34"/>
      <c r="I43" s="34"/>
      <c r="J43" s="39"/>
    </row>
    <row r="44" s="128" customFormat="1" ht="23.25" spans="1:10">
      <c r="A44" s="34"/>
      <c r="B44" s="34" t="s">
        <v>36</v>
      </c>
      <c r="C44" s="34">
        <v>4</v>
      </c>
      <c r="D44" s="132">
        <v>132000</v>
      </c>
      <c r="E44" s="132" t="s">
        <v>206</v>
      </c>
      <c r="F44" s="132">
        <v>132000</v>
      </c>
      <c r="G44" s="209" t="s">
        <v>206</v>
      </c>
      <c r="H44" s="210" t="s">
        <v>300</v>
      </c>
      <c r="I44" s="133"/>
      <c r="J44" s="34"/>
    </row>
    <row r="45" ht="21.75" customHeight="1" spans="1:10">
      <c r="D45" s="211"/>
      <c r="E45" s="211"/>
      <c r="F45" s="211"/>
      <c r="G45" s="211"/>
    </row>
    <row r="46" spans="1:10">
      <c r="C46" s="42"/>
      <c r="D46" s="212"/>
      <c r="E46" s="212"/>
      <c r="F46" s="212"/>
      <c r="G46" s="212"/>
      <c r="I46" s="212"/>
      <c r="J46" s="212"/>
    </row>
    <row r="48" spans="1:10">
      <c r="D48" s="43" t="s">
        <v>83</v>
      </c>
      <c r="E48" s="43"/>
      <c r="F48" s="43"/>
      <c r="G48" s="43"/>
      <c r="H48" s="211"/>
      <c r="I48" s="211"/>
    </row>
  </sheetData>
  <mergeCells count="44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A13:B13"/>
    <mergeCell ref="A14:B14"/>
    <mergeCell ref="A15:B15"/>
    <mergeCell ref="A17:B17"/>
    <mergeCell ref="A18:B18"/>
    <mergeCell ref="A19:B19"/>
    <mergeCell ref="A20:B20"/>
    <mergeCell ref="D26:E26"/>
    <mergeCell ref="F26:G26"/>
    <mergeCell ref="A27:J27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A43:B43"/>
    <mergeCell ref="C12:H25"/>
    <mergeCell ref="A2:H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6"/>
  <sheetViews>
    <sheetView topLeftCell="A20" workbookViewId="0">
      <selection activeCell="A23" sqref="A17:E29"/>
    </sheetView>
  </sheetViews>
  <sheetFormatPr defaultColWidth="9" defaultRowHeight="15.75"/>
  <cols>
    <col min="1" max="1" width="21.75" customWidth="1"/>
    <col min="2" max="2" width="23.375" customWidth="1"/>
    <col min="3" max="3" width="13.75" customWidth="1"/>
    <col min="4" max="4" width="14.125" customWidth="1"/>
    <col min="5" max="5" width="13.625" customWidth="1"/>
  </cols>
  <sheetData>
    <row r="2" customHeight="1" spans="1:5">
      <c r="A2" s="2" t="s">
        <v>48</v>
      </c>
      <c r="B2" s="2"/>
      <c r="C2" s="2"/>
      <c r="D2" s="2"/>
      <c r="E2" s="2"/>
    </row>
    <row r="3" customHeight="1" spans="1:5">
      <c r="A3" s="2"/>
      <c r="B3" s="2"/>
      <c r="C3" s="2"/>
      <c r="D3" s="2"/>
      <c r="E3" s="2"/>
    </row>
    <row r="4" customHeight="1" spans="1:5">
      <c r="A4" s="2"/>
      <c r="B4" s="2"/>
      <c r="C4" s="2"/>
      <c r="D4" s="2"/>
      <c r="E4" s="2"/>
    </row>
    <row r="5" customHeight="1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4.25" customHeight="1" spans="1:5">
      <c r="A12" s="13" t="s">
        <v>3</v>
      </c>
      <c r="B12" s="14"/>
      <c r="C12" s="58" t="s">
        <v>301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302</v>
      </c>
      <c r="D16" s="59"/>
      <c r="E16" s="59"/>
    </row>
    <row r="17" ht="14.25" customHeight="1" spans="1:5">
      <c r="A17" s="13" t="s">
        <v>303</v>
      </c>
      <c r="B17" s="14"/>
      <c r="C17" s="61" t="s">
        <v>57</v>
      </c>
      <c r="D17" s="62"/>
      <c r="E17" s="62"/>
    </row>
    <row r="18" ht="14.25" customHeight="1" spans="1:5">
      <c r="A18" s="13" t="s">
        <v>304</v>
      </c>
      <c r="B18" s="14"/>
      <c r="C18" s="63"/>
      <c r="D18" s="13"/>
      <c r="E18" s="13"/>
    </row>
    <row r="19" ht="14.25" customHeight="1" spans="1:5">
      <c r="A19" s="13" t="s">
        <v>305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303</v>
      </c>
      <c r="B22" s="14"/>
      <c r="C22" s="63"/>
      <c r="D22" s="13"/>
      <c r="E22" s="13"/>
    </row>
    <row r="23" ht="14.25" customHeight="1" spans="1:5">
      <c r="A23" s="13" t="s">
        <v>304</v>
      </c>
      <c r="B23" s="14"/>
      <c r="C23" s="63"/>
      <c r="D23" s="13"/>
      <c r="E23" s="13"/>
    </row>
    <row r="24" ht="14.25" customHeight="1" spans="1:5">
      <c r="A24" s="13" t="s">
        <v>305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4.25" customHeight="1" spans="1:5">
      <c r="A27" s="19" t="s">
        <v>306</v>
      </c>
      <c r="B27" s="19" t="s">
        <v>307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308</v>
      </c>
      <c r="B29" s="22" t="s">
        <v>309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30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9">
      <c r="A33" s="29"/>
      <c r="B33" s="29"/>
      <c r="C33" s="29" t="s">
        <v>291</v>
      </c>
      <c r="D33" s="30" t="s">
        <v>310</v>
      </c>
      <c r="E33" s="30"/>
    </row>
    <row r="34" ht="15" customHeight="1" spans="1:9">
      <c r="B34" s="213" t="s">
        <v>311</v>
      </c>
      <c r="C34" s="31">
        <v>1</v>
      </c>
      <c r="D34" s="65">
        <v>6800</v>
      </c>
      <c r="E34" s="66">
        <f>C34*D34</f>
        <v>6800</v>
      </c>
    </row>
    <row r="35" ht="11.25" customHeight="1" spans="1:9">
      <c r="A35" s="35" t="s">
        <v>32</v>
      </c>
      <c r="B35" s="35" t="s">
        <v>312</v>
      </c>
      <c r="C35" s="35"/>
      <c r="D35" s="35"/>
      <c r="E35" s="66"/>
    </row>
    <row r="36" ht="15" customHeight="1" spans="1:9">
      <c r="A36" s="34"/>
      <c r="B36" s="136" t="s">
        <v>313</v>
      </c>
      <c r="C36" s="31"/>
      <c r="D36" s="65"/>
      <c r="E36" s="66"/>
      <c r="I36" s="214"/>
    </row>
    <row r="37" ht="15" customHeight="1" spans="1:9">
      <c r="A37" s="34"/>
      <c r="B37" s="35" t="s">
        <v>296</v>
      </c>
      <c r="C37" s="35"/>
      <c r="D37" s="65"/>
      <c r="E37" s="66"/>
    </row>
    <row r="38" ht="15" customHeight="1" spans="1:9">
      <c r="A38" s="35"/>
      <c r="B38" s="30"/>
      <c r="C38" s="30"/>
      <c r="D38" s="30"/>
      <c r="E38" s="31"/>
    </row>
    <row r="39" ht="15" customHeight="1" spans="1:9">
      <c r="A39" s="35"/>
      <c r="B39" s="35"/>
      <c r="C39" s="31"/>
      <c r="D39" s="52"/>
      <c r="E39" s="31"/>
    </row>
    <row r="40" ht="15" customHeight="1" spans="1:9">
      <c r="A40" s="30"/>
      <c r="B40" s="30"/>
      <c r="C40" s="36"/>
      <c r="D40" s="35"/>
      <c r="E40" s="35"/>
    </row>
    <row r="41" ht="15" customHeight="1" spans="1:9">
      <c r="A41" s="37"/>
      <c r="B41" s="37"/>
      <c r="C41" s="37"/>
      <c r="D41" s="38"/>
      <c r="E41" s="38"/>
    </row>
    <row r="42" ht="22.5" customHeight="1" spans="1:9">
      <c r="A42" s="35"/>
      <c r="B42" s="36" t="s">
        <v>36</v>
      </c>
      <c r="C42" s="36" t="s">
        <v>314</v>
      </c>
      <c r="D42" s="36" t="s">
        <v>315</v>
      </c>
      <c r="E42" s="215" t="s">
        <v>316</v>
      </c>
    </row>
    <row r="46" spans="1:9">
      <c r="D46" s="55" t="s">
        <v>47</v>
      </c>
    </row>
  </sheetData>
  <mergeCells count="25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B38:D38"/>
    <mergeCell ref="A40:B40"/>
    <mergeCell ref="A41:B41"/>
    <mergeCell ref="C17:E29"/>
    <mergeCell ref="A2:E9"/>
  </mergeCells>
  <printOptions horizontalCentered="1"/>
  <pageMargins left="0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8"/>
  <sheetViews>
    <sheetView workbookViewId="0">
      <selection activeCell="A23" sqref="A12:H25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2.75" style="1" customWidth="1"/>
    <col min="6" max="6" width="8.56666666666667" style="1" customWidth="1"/>
    <col min="7" max="7" width="3.441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5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301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116"/>
      <c r="B11" s="11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303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304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3" t="s">
        <v>305</v>
      </c>
      <c r="B15" s="14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3"/>
      <c r="B16" s="14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303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 t="s">
        <v>304</v>
      </c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13" t="s">
        <v>305</v>
      </c>
      <c r="B20" s="14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3"/>
      <c r="B21" s="14"/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0" t="s">
        <v>17</v>
      </c>
      <c r="B22" s="18" t="s">
        <v>18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9" t="s">
        <v>306</v>
      </c>
      <c r="B23" s="19" t="s">
        <v>307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10" t="s">
        <v>21</v>
      </c>
      <c r="B24" s="18" t="s">
        <v>22</v>
      </c>
      <c r="C24" s="15"/>
      <c r="D24" s="16"/>
      <c r="E24" s="16"/>
      <c r="F24" s="16"/>
      <c r="G24" s="16"/>
      <c r="H24" s="16"/>
      <c r="I24" s="16"/>
    </row>
    <row r="25" customFormat="1" ht="15.75" spans="1:10">
      <c r="A25" s="21" t="s">
        <v>308</v>
      </c>
      <c r="B25" s="22" t="s">
        <v>309</v>
      </c>
      <c r="C25" s="15"/>
      <c r="D25" s="16"/>
      <c r="E25" s="16"/>
      <c r="F25" s="16"/>
      <c r="G25" s="16"/>
      <c r="H25" s="16"/>
      <c r="I25" s="16"/>
    </row>
    <row r="26" customFormat="1" ht="20.25" customHeight="1" spans="1:10">
      <c r="A26" s="23" t="s">
        <v>24</v>
      </c>
      <c r="B26" s="24" t="s">
        <v>25</v>
      </c>
      <c r="C26" s="25" t="s">
        <v>71</v>
      </c>
      <c r="D26" s="27" t="s">
        <v>72</v>
      </c>
      <c r="E26" s="201"/>
      <c r="F26" s="27" t="s">
        <v>73</v>
      </c>
      <c r="G26" s="201"/>
      <c r="H26" s="28" t="s">
        <v>103</v>
      </c>
      <c r="I26" s="202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12" customHeight="1" spans="1:10">
      <c r="A28" s="30"/>
      <c r="B28" s="232" t="s">
        <v>317</v>
      </c>
      <c r="C28" s="31"/>
      <c r="D28" s="32"/>
      <c r="E28" s="32"/>
      <c r="F28" s="32"/>
      <c r="G28" s="32"/>
      <c r="H28" s="33"/>
      <c r="I28" s="33"/>
      <c r="J28" s="31"/>
    </row>
    <row r="29" ht="12" customHeight="1" spans="1:10">
      <c r="A29" s="34"/>
      <c r="B29" s="67" t="s">
        <v>318</v>
      </c>
      <c r="C29" s="31"/>
      <c r="D29" s="32"/>
      <c r="E29" s="32"/>
      <c r="F29" s="32"/>
      <c r="G29" s="32"/>
      <c r="H29" s="33"/>
      <c r="I29" s="33"/>
      <c r="J29" s="31"/>
    </row>
    <row r="30" spans="1:10">
      <c r="A30" s="35"/>
      <c r="B30" s="30" t="s">
        <v>319</v>
      </c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41"/>
      <c r="B31" s="35"/>
      <c r="C31" s="35"/>
      <c r="D31" s="35"/>
      <c r="E31" s="35"/>
      <c r="F31" s="35"/>
      <c r="G31" s="35"/>
      <c r="H31" s="35"/>
      <c r="I31" s="35"/>
      <c r="J31" s="35"/>
    </row>
    <row r="32" s="67" customFormat="1" ht="10.5" customHeight="1" spans="1:10">
      <c r="A32" s="35"/>
      <c r="B32" s="39"/>
      <c r="C32" s="39"/>
      <c r="D32" s="203"/>
      <c r="E32" s="203"/>
      <c r="F32" s="39"/>
      <c r="G32" s="39"/>
      <c r="H32" s="39"/>
      <c r="I32" s="35"/>
      <c r="J32" s="35"/>
    </row>
    <row r="33" s="67" customFormat="1" ht="12" customHeight="1" spans="1:10">
      <c r="A33" s="35"/>
      <c r="B33" s="204"/>
      <c r="C33" s="205"/>
      <c r="D33" s="206"/>
      <c r="E33" s="206"/>
      <c r="F33" s="206"/>
      <c r="G33" s="206"/>
      <c r="H33" s="207"/>
      <c r="I33" s="34"/>
      <c r="J33" s="131"/>
    </row>
    <row r="34" s="67" customFormat="1" ht="11.25" spans="1:10">
      <c r="B34" s="204"/>
      <c r="C34" s="208"/>
      <c r="D34" s="206"/>
      <c r="E34" s="206"/>
      <c r="F34" s="206"/>
      <c r="G34" s="206"/>
      <c r="H34" s="207"/>
      <c r="I34" s="34"/>
    </row>
    <row r="35" s="67" customFormat="1" ht="11.25" spans="1:10">
      <c r="A35" s="35"/>
      <c r="B35" s="204"/>
      <c r="C35" s="205"/>
      <c r="D35" s="206"/>
      <c r="E35" s="206"/>
      <c r="F35" s="206"/>
      <c r="G35" s="206"/>
      <c r="H35" s="207"/>
      <c r="I35" s="34"/>
      <c r="J35" s="35"/>
    </row>
    <row r="36" s="67" customFormat="1" ht="12" customHeight="1" spans="1:10">
      <c r="A36" s="35"/>
      <c r="B36" s="204"/>
      <c r="C36" s="205"/>
      <c r="D36" s="206"/>
      <c r="E36" s="206"/>
      <c r="F36" s="206"/>
      <c r="G36" s="206"/>
      <c r="H36" s="207"/>
      <c r="I36" s="34"/>
      <c r="J36" s="35"/>
    </row>
    <row r="37" s="67" customFormat="1" ht="12" customHeight="1" spans="1:10">
      <c r="A37" s="35"/>
      <c r="B37" s="204"/>
      <c r="C37" s="205"/>
      <c r="D37" s="206"/>
      <c r="E37" s="206"/>
      <c r="F37" s="206"/>
      <c r="G37" s="206"/>
      <c r="H37" s="207"/>
      <c r="I37" s="34"/>
      <c r="J37" s="35"/>
    </row>
    <row r="38" s="67" customFormat="1" ht="12" customHeight="1" spans="1:10">
      <c r="A38" s="35"/>
      <c r="B38" s="204"/>
      <c r="C38" s="205"/>
      <c r="D38" s="206"/>
      <c r="E38" s="206"/>
      <c r="F38" s="206"/>
      <c r="G38" s="206"/>
      <c r="H38" s="207"/>
      <c r="I38" s="34"/>
      <c r="J38" s="35"/>
    </row>
    <row r="39" s="67" customFormat="1" ht="12" customHeight="1" spans="1:10">
      <c r="A39" s="35"/>
      <c r="B39" s="204"/>
      <c r="C39" s="205"/>
      <c r="D39" s="206"/>
      <c r="E39" s="206"/>
      <c r="F39" s="206"/>
      <c r="G39" s="206"/>
      <c r="H39" s="207"/>
      <c r="I39" s="34"/>
      <c r="J39" s="35"/>
    </row>
    <row r="40" s="67" customFormat="1" ht="12" customHeight="1" spans="1:10">
      <c r="A40" s="35"/>
      <c r="B40" s="204"/>
      <c r="C40" s="205"/>
      <c r="D40" s="206"/>
      <c r="E40" s="206"/>
      <c r="F40" s="206"/>
      <c r="G40" s="206"/>
      <c r="H40" s="207"/>
      <c r="I40" s="34"/>
      <c r="J40" s="35"/>
    </row>
    <row r="41" s="67" customFormat="1" ht="12" customHeight="1" spans="1:10">
      <c r="A41" s="35"/>
      <c r="B41" s="204"/>
      <c r="C41" s="205"/>
      <c r="D41" s="206"/>
      <c r="E41" s="206"/>
      <c r="F41" s="206"/>
      <c r="G41" s="206"/>
      <c r="H41" s="207"/>
      <c r="I41" s="34"/>
      <c r="J41" s="35"/>
    </row>
    <row r="42" s="67" customFormat="1" ht="12" customHeight="1" spans="1:10">
      <c r="A42" s="35"/>
      <c r="B42" s="204"/>
      <c r="C42" s="205"/>
      <c r="D42" s="206"/>
      <c r="E42" s="206"/>
      <c r="F42" s="206"/>
      <c r="G42" s="206"/>
      <c r="H42" s="207"/>
      <c r="I42" s="34"/>
      <c r="J42" s="35"/>
    </row>
    <row r="43" ht="12.35" spans="1:10">
      <c r="A43" s="37"/>
      <c r="B43" s="37"/>
      <c r="C43" s="37"/>
      <c r="D43" s="38"/>
      <c r="E43" s="38"/>
      <c r="F43" s="38"/>
      <c r="G43" s="39"/>
      <c r="H43" s="34"/>
      <c r="I43" s="34"/>
      <c r="J43" s="39"/>
    </row>
    <row r="44" s="128" customFormat="1" ht="23.25" spans="1:10">
      <c r="A44" s="34"/>
      <c r="B44" s="34" t="s">
        <v>36</v>
      </c>
      <c r="C44" s="34" t="s">
        <v>320</v>
      </c>
      <c r="D44" s="132">
        <v>1000</v>
      </c>
      <c r="E44" s="132" t="s">
        <v>206</v>
      </c>
      <c r="F44" s="132">
        <v>1008</v>
      </c>
      <c r="G44" s="209" t="s">
        <v>206</v>
      </c>
      <c r="H44" s="210" t="s">
        <v>321</v>
      </c>
      <c r="I44" s="133"/>
      <c r="J44" s="34"/>
    </row>
    <row r="45" ht="21.75" customHeight="1" spans="1:10">
      <c r="D45" s="211"/>
      <c r="E45" s="211"/>
      <c r="F45" s="211"/>
      <c r="G45" s="211"/>
    </row>
    <row r="46" spans="1:10">
      <c r="C46" s="42"/>
      <c r="D46" s="212"/>
      <c r="E46" s="212"/>
      <c r="F46" s="212"/>
      <c r="G46" s="212"/>
      <c r="H46" s="212"/>
      <c r="I46" s="212"/>
      <c r="J46" s="212"/>
    </row>
    <row r="48" spans="1:10">
      <c r="D48" s="43" t="s">
        <v>83</v>
      </c>
      <c r="E48" s="43"/>
      <c r="F48" s="43"/>
      <c r="G48" s="43"/>
      <c r="H48" s="211"/>
      <c r="I48" s="211"/>
    </row>
  </sheetData>
  <mergeCells count="44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A13:B13"/>
    <mergeCell ref="A14:B14"/>
    <mergeCell ref="A15:B15"/>
    <mergeCell ref="A17:B17"/>
    <mergeCell ref="A18:B18"/>
    <mergeCell ref="A19:B19"/>
    <mergeCell ref="A20:B20"/>
    <mergeCell ref="D26:E26"/>
    <mergeCell ref="F26:G26"/>
    <mergeCell ref="A27:J27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A43:B43"/>
    <mergeCell ref="A2:H6"/>
    <mergeCell ref="C12:H25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WhiteSpace="0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0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322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/>
      <c r="D16" s="59"/>
      <c r="E16" s="59"/>
    </row>
    <row r="17" ht="14.25" customHeight="1" spans="1:5">
      <c r="A17" s="13" t="s">
        <v>323</v>
      </c>
      <c r="B17" s="14"/>
      <c r="C17" s="61" t="s">
        <v>57</v>
      </c>
      <c r="D17" s="62"/>
      <c r="E17" s="62"/>
    </row>
    <row r="18" ht="14.25" customHeight="1" spans="1:5">
      <c r="A18" s="13" t="s">
        <v>324</v>
      </c>
      <c r="B18" s="14"/>
      <c r="C18" s="63"/>
      <c r="D18" s="13"/>
      <c r="E18" s="13"/>
    </row>
    <row r="19" ht="14.25" customHeight="1" spans="1:5">
      <c r="A19" s="13" t="s">
        <v>325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323</v>
      </c>
      <c r="B22" s="14"/>
      <c r="C22" s="63"/>
      <c r="D22" s="13"/>
      <c r="E22" s="13"/>
    </row>
    <row r="23" ht="14.25" customHeight="1" spans="1:5">
      <c r="A23" s="13" t="s">
        <v>324</v>
      </c>
      <c r="B23" s="14"/>
      <c r="C23" s="63"/>
      <c r="D23" s="13"/>
      <c r="E23" s="13"/>
    </row>
    <row r="24" ht="14.25" customHeight="1" spans="1:5">
      <c r="A24" s="13" t="s">
        <v>325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326</v>
      </c>
      <c r="B27" s="19" t="s">
        <v>327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/>
      <c r="B29" s="22" t="s">
        <v>328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206</v>
      </c>
      <c r="D31" s="36" t="s">
        <v>235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C33" s="34"/>
      <c r="D33" s="30"/>
      <c r="E33" s="30"/>
    </row>
    <row r="34" ht="15" customHeight="1" spans="1:6">
      <c r="A34" s="1" t="s">
        <v>329</v>
      </c>
      <c r="C34" s="213"/>
      <c r="D34" s="68"/>
      <c r="E34" s="66"/>
    </row>
    <row r="35" ht="14.25" customHeight="1" spans="1:6">
      <c r="B35" s="213" t="s">
        <v>330</v>
      </c>
      <c r="C35" s="31">
        <v>10</v>
      </c>
      <c r="D35" s="68">
        <v>36</v>
      </c>
      <c r="E35" s="66">
        <f>C35*D35</f>
        <v>360</v>
      </c>
    </row>
    <row r="36" ht="14.25" customHeight="1" spans="1:6">
      <c r="B36" s="213"/>
      <c r="C36" s="31"/>
      <c r="D36" s="65"/>
      <c r="E36" s="66"/>
    </row>
    <row r="37" ht="15" customHeight="1" spans="1:6">
      <c r="A37" s="1"/>
      <c r="B37" s="213"/>
      <c r="C37" s="31"/>
      <c r="D37" s="65"/>
      <c r="E37" s="66"/>
      <c r="F37" s="79"/>
    </row>
    <row r="38" ht="15" customHeight="1" spans="1:6">
      <c r="A38" s="35"/>
      <c r="B38" s="231"/>
      <c r="C38" s="31"/>
      <c r="D38" s="65"/>
      <c r="E38" s="66"/>
    </row>
    <row r="39" ht="15" customHeight="1" spans="1:6">
      <c r="A39" s="34"/>
      <c r="B39" s="213"/>
      <c r="C39" s="31"/>
      <c r="D39" s="65"/>
      <c r="E39" s="66"/>
    </row>
    <row r="40" ht="15" customHeight="1" spans="1:6">
      <c r="A40" s="34"/>
      <c r="B40" s="213"/>
      <c r="C40" s="31"/>
      <c r="D40" s="65"/>
      <c r="E40" s="66"/>
    </row>
    <row r="41" ht="15" customHeight="1" spans="1:6">
      <c r="A41" s="34"/>
      <c r="B41" s="213"/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/>
      <c r="D45" s="36"/>
      <c r="E45" s="215" t="s">
        <v>331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C17:E29"/>
    <mergeCell ref="A2:E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8"/>
  <sheetViews>
    <sheetView workbookViewId="0">
      <selection activeCell="A23" sqref="A12:F25"/>
    </sheetView>
  </sheetViews>
  <sheetFormatPr defaultColWidth="9" defaultRowHeight="11.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9">
      <c r="A2" s="2" t="s">
        <v>65</v>
      </c>
      <c r="B2" s="2"/>
      <c r="C2" s="2"/>
      <c r="D2" s="2"/>
      <c r="E2" s="2"/>
      <c r="F2" s="2"/>
      <c r="G2" s="3"/>
    </row>
    <row r="3" ht="14.25" customHeight="1" spans="1:9">
      <c r="A3" s="2"/>
      <c r="B3" s="2"/>
      <c r="C3" s="2"/>
      <c r="D3" s="2"/>
      <c r="E3" s="2"/>
      <c r="F3" s="2"/>
      <c r="G3" s="3"/>
    </row>
    <row r="4" ht="14.25" customHeight="1" spans="1:9">
      <c r="A4" s="2"/>
      <c r="B4" s="2"/>
      <c r="C4" s="2"/>
      <c r="D4" s="2"/>
      <c r="E4" s="2"/>
      <c r="F4" s="2"/>
      <c r="G4" s="3"/>
    </row>
    <row r="5" ht="12" customHeight="1" spans="1:9">
      <c r="A5" s="2"/>
      <c r="B5" s="2"/>
      <c r="C5" s="2"/>
      <c r="D5" s="2"/>
      <c r="E5" s="2"/>
      <c r="F5" s="2"/>
      <c r="G5" s="3"/>
    </row>
    <row r="6" spans="1:9">
      <c r="A6" s="4"/>
      <c r="B6" s="4"/>
      <c r="C6" s="4"/>
      <c r="D6" s="4"/>
      <c r="E6" s="4"/>
      <c r="F6" s="4"/>
    </row>
    <row r="7" customFormat="1" ht="15" customHeight="1" spans="1:9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9">
      <c r="A8" s="13" t="s">
        <v>3</v>
      </c>
      <c r="B8" s="14"/>
      <c r="C8" s="9" t="s">
        <v>332</v>
      </c>
      <c r="D8" s="7"/>
      <c r="E8" s="7"/>
      <c r="F8" s="7"/>
    </row>
    <row r="9" customFormat="1" ht="15" customHeight="1" spans="1:9">
      <c r="A9" s="13" t="s">
        <v>50</v>
      </c>
      <c r="B9" s="14"/>
      <c r="C9" s="9"/>
      <c r="D9" s="7"/>
      <c r="E9" s="7"/>
      <c r="F9" s="7"/>
    </row>
    <row r="10" customFormat="1" ht="15" customHeight="1" spans="1:9">
      <c r="A10" s="7" t="s">
        <v>52</v>
      </c>
      <c r="B10" s="8"/>
      <c r="C10" s="9"/>
      <c r="D10" s="7"/>
      <c r="E10" s="7"/>
      <c r="F10" s="7"/>
    </row>
    <row r="11" customFormat="1" ht="15" customHeight="1" spans="1:9">
      <c r="A11" s="116"/>
      <c r="B11" s="117"/>
      <c r="C11" s="11"/>
      <c r="D11" s="12"/>
      <c r="E11" s="12"/>
      <c r="F11" s="12"/>
    </row>
    <row r="12" customFormat="1" ht="14.25" customHeight="1" spans="1:9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9">
      <c r="A13" s="13" t="s">
        <v>333</v>
      </c>
      <c r="B13" s="14"/>
      <c r="C13" s="15"/>
      <c r="D13" s="16"/>
      <c r="E13" s="16"/>
      <c r="F13" s="16"/>
    </row>
    <row r="14" customFormat="1" ht="14.25" customHeight="1" spans="1:9">
      <c r="A14" s="13" t="s">
        <v>334</v>
      </c>
      <c r="B14" s="14"/>
      <c r="C14" s="15"/>
      <c r="D14" s="16"/>
      <c r="E14" s="16"/>
      <c r="F14" s="16"/>
    </row>
    <row r="15" customFormat="1" ht="14.25" customHeight="1" spans="1:9">
      <c r="A15" s="13" t="s">
        <v>335</v>
      </c>
      <c r="B15" s="14"/>
      <c r="C15" s="15"/>
      <c r="D15" s="16"/>
      <c r="E15" s="16"/>
      <c r="F15" s="16"/>
      <c r="I15" s="214" t="s">
        <v>157</v>
      </c>
    </row>
    <row r="16" customFormat="1" ht="16.5" customHeight="1" spans="1:9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9"/>
      <c r="D17" s="16"/>
      <c r="E17" s="16"/>
      <c r="F17" s="16"/>
    </row>
    <row r="18" customFormat="1" ht="14.25" customHeight="1" spans="1:7">
      <c r="A18" s="13" t="s">
        <v>336</v>
      </c>
      <c r="B18" s="14"/>
      <c r="C18" s="15"/>
      <c r="D18" s="16"/>
      <c r="E18" s="16"/>
      <c r="F18" s="16"/>
    </row>
    <row r="19" customFormat="1" ht="14.25" customHeight="1" spans="1:7">
      <c r="A19" s="13" t="s">
        <v>337</v>
      </c>
      <c r="B19" s="14"/>
      <c r="C19" s="15"/>
      <c r="D19" s="16"/>
      <c r="E19" s="16"/>
      <c r="F19" s="16"/>
    </row>
    <row r="20" customFormat="1" ht="14.25" customHeight="1" spans="1:7">
      <c r="A20" s="13" t="s">
        <v>338</v>
      </c>
      <c r="B20" s="14"/>
      <c r="C20" s="15"/>
      <c r="D20" s="16"/>
      <c r="E20" s="16"/>
      <c r="F20" s="16"/>
    </row>
    <row r="21" customFormat="1" ht="12" customHeight="1" spans="1:7">
      <c r="A21" s="13" t="s">
        <v>339</v>
      </c>
      <c r="B21" s="14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/>
      <c r="B23" s="19" t="s">
        <v>340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/>
      <c r="B25" s="22"/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/>
      <c r="C28" s="31"/>
      <c r="D28" s="32"/>
      <c r="E28" s="32"/>
      <c r="F28" s="33"/>
      <c r="G28" s="31"/>
    </row>
    <row r="29" ht="12" customHeight="1" spans="1:7">
      <c r="A29" s="34" t="s">
        <v>329</v>
      </c>
      <c r="B29" s="213" t="s">
        <v>341</v>
      </c>
      <c r="C29" s="31">
        <v>1</v>
      </c>
      <c r="D29" s="73" t="s">
        <v>342</v>
      </c>
      <c r="E29" s="73" t="s">
        <v>343</v>
      </c>
      <c r="F29" s="40"/>
      <c r="G29" s="31"/>
    </row>
    <row r="30" spans="1:7">
      <c r="A30" s="35"/>
      <c r="B30" s="213" t="s">
        <v>344</v>
      </c>
      <c r="C30" s="36"/>
      <c r="D30" s="35"/>
      <c r="E30" s="35"/>
      <c r="F30" s="35"/>
      <c r="G30" s="35"/>
    </row>
    <row r="31" s="67" customFormat="1" ht="19.5" customHeight="1" spans="1:7">
      <c r="A31" s="41"/>
      <c r="B31" s="213" t="s">
        <v>345</v>
      </c>
      <c r="C31" s="35"/>
      <c r="D31" s="35"/>
      <c r="E31" s="35"/>
      <c r="F31" s="35"/>
      <c r="G31" s="35"/>
    </row>
    <row r="32" s="67" customFormat="1" ht="10.5" customHeight="1" spans="1:7">
      <c r="A32" s="35"/>
      <c r="B32" s="35"/>
      <c r="C32" s="35"/>
      <c r="D32" s="129"/>
      <c r="E32" s="35"/>
      <c r="F32" s="35"/>
      <c r="G32" s="35"/>
    </row>
    <row r="33" s="67" customFormat="1" ht="12" customHeight="1" spans="1:9">
      <c r="A33" s="35"/>
      <c r="C33" s="34"/>
      <c r="D33" s="130"/>
      <c r="E33" s="130"/>
      <c r="F33" s="34"/>
      <c r="G33" s="35"/>
      <c r="H33" s="233"/>
      <c r="I33" s="233"/>
    </row>
    <row r="34" s="67" customFormat="1" ht="11.25" spans="1:9">
      <c r="B34" s="136"/>
      <c r="C34" s="136"/>
      <c r="D34" s="233"/>
      <c r="E34" s="233"/>
      <c r="F34" s="34"/>
      <c r="H34" s="233"/>
      <c r="I34" s="233"/>
    </row>
    <row r="35" s="67" customFormat="1" ht="11.25" spans="1:9">
      <c r="A35" s="35"/>
      <c r="B35" s="234"/>
      <c r="C35" s="234"/>
      <c r="D35" s="233"/>
      <c r="E35" s="233"/>
      <c r="F35" s="34"/>
      <c r="G35" s="35"/>
      <c r="H35" s="233"/>
      <c r="I35" s="233"/>
    </row>
    <row r="36" s="67" customFormat="1" ht="12" customHeight="1" spans="1:9">
      <c r="A36" s="35"/>
      <c r="B36" s="226"/>
      <c r="C36" s="234"/>
      <c r="D36" s="233"/>
      <c r="E36" s="233"/>
      <c r="F36" s="34"/>
      <c r="G36" s="35"/>
      <c r="H36" s="233"/>
      <c r="I36" s="233"/>
    </row>
    <row r="37" s="67" customFormat="1" ht="12" customHeight="1" spans="1:9">
      <c r="A37" s="35"/>
      <c r="B37" s="226"/>
      <c r="C37" s="34"/>
      <c r="D37" s="233"/>
      <c r="E37" s="233"/>
      <c r="F37" s="34"/>
      <c r="G37" s="35"/>
      <c r="H37" s="233"/>
      <c r="I37" s="233"/>
    </row>
    <row r="38" s="67" customFormat="1" ht="12" customHeight="1" spans="1:9">
      <c r="A38" s="35"/>
      <c r="B38" s="226"/>
      <c r="C38" s="34"/>
      <c r="D38" s="235"/>
      <c r="E38" s="233"/>
      <c r="F38" s="34"/>
      <c r="G38" s="35"/>
    </row>
    <row r="39" s="67" customFormat="1" ht="12" customHeight="1" spans="1:9">
      <c r="A39" s="35"/>
      <c r="B39" s="234"/>
      <c r="C39" s="34"/>
      <c r="D39" s="130"/>
      <c r="E39" s="130"/>
      <c r="F39" s="34"/>
      <c r="G39" s="35"/>
    </row>
    <row r="40" s="67" customFormat="1" ht="12" customHeight="1" spans="1:9">
      <c r="A40" s="35"/>
      <c r="B40" s="226"/>
      <c r="C40" s="34"/>
      <c r="D40" s="130"/>
      <c r="E40" s="130"/>
      <c r="F40" s="34"/>
      <c r="G40" s="35"/>
    </row>
    <row r="41" s="67" customFormat="1" ht="12" customHeight="1" spans="1:9">
      <c r="A41" s="35"/>
      <c r="B41" s="226"/>
      <c r="C41" s="34"/>
      <c r="D41" s="130"/>
      <c r="E41" s="130"/>
      <c r="F41" s="34"/>
      <c r="G41" s="35"/>
    </row>
    <row r="42" s="67" customFormat="1" ht="12" customHeight="1" spans="1:9">
      <c r="A42" s="35"/>
      <c r="B42" s="35"/>
      <c r="C42" s="34"/>
      <c r="D42" s="130"/>
      <c r="E42" s="130"/>
      <c r="F42" s="34"/>
      <c r="G42" s="131"/>
      <c r="H42" s="139"/>
      <c r="I42" s="139"/>
    </row>
    <row r="43" ht="12.35" spans="1:9">
      <c r="A43" s="37"/>
      <c r="B43" s="37"/>
      <c r="C43" s="37"/>
      <c r="D43" s="38"/>
      <c r="E43" s="38"/>
      <c r="F43" s="38"/>
      <c r="G43" s="39"/>
    </row>
    <row r="44" s="128" customFormat="1" ht="12.35" spans="1:9">
      <c r="A44" s="34"/>
      <c r="B44" s="34" t="s">
        <v>36</v>
      </c>
      <c r="C44" s="34"/>
      <c r="D44" s="73" t="s">
        <v>342</v>
      </c>
      <c r="E44" s="73" t="s">
        <v>343</v>
      </c>
      <c r="F44" s="133"/>
      <c r="G44" s="34"/>
    </row>
    <row r="45" ht="21.75" customHeight="1" spans="1:9">
      <c r="B45" s="67" t="s">
        <v>36</v>
      </c>
      <c r="D45" s="211"/>
      <c r="E45" s="211"/>
    </row>
    <row r="46" spans="1:9">
      <c r="C46" s="42"/>
      <c r="D46" s="212"/>
      <c r="E46" s="212"/>
      <c r="F46" s="212"/>
      <c r="G46" s="42"/>
    </row>
    <row r="48" spans="1:9">
      <c r="D48" s="43" t="s">
        <v>83</v>
      </c>
      <c r="E48" s="43"/>
      <c r="F48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7:B17"/>
    <mergeCell ref="A18:B18"/>
    <mergeCell ref="A19:B19"/>
    <mergeCell ref="A20:B20"/>
    <mergeCell ref="A27:G27"/>
    <mergeCell ref="A43:B43"/>
    <mergeCell ref="C12:F25"/>
    <mergeCell ref="A2:F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WhiteSpace="0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0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346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/>
      <c r="D16" s="59"/>
      <c r="E16" s="59"/>
    </row>
    <row r="17" ht="14.25" customHeight="1" spans="1:5">
      <c r="A17" s="13" t="s">
        <v>333</v>
      </c>
      <c r="B17" s="14"/>
      <c r="C17" s="61" t="s">
        <v>57</v>
      </c>
      <c r="D17" s="62"/>
      <c r="E17" s="62"/>
    </row>
    <row r="18" ht="14.25" customHeight="1" spans="1:5">
      <c r="A18" s="13" t="s">
        <v>334</v>
      </c>
      <c r="B18" s="14"/>
      <c r="C18" s="63"/>
      <c r="D18" s="13"/>
      <c r="E18" s="13"/>
    </row>
    <row r="19" ht="14.25" customHeight="1" spans="1:5">
      <c r="A19" s="13" t="s">
        <v>335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336</v>
      </c>
      <c r="B22" s="14"/>
      <c r="C22" s="63"/>
      <c r="D22" s="13"/>
      <c r="E22" s="13"/>
    </row>
    <row r="23" ht="14.25" customHeight="1" spans="1:5">
      <c r="A23" s="13" t="s">
        <v>337</v>
      </c>
      <c r="B23" s="14"/>
      <c r="C23" s="63"/>
      <c r="D23" s="13"/>
      <c r="E23" s="13"/>
    </row>
    <row r="24" ht="14.25" customHeight="1" spans="1:5">
      <c r="A24" s="13" t="s">
        <v>338</v>
      </c>
      <c r="B24" s="14"/>
      <c r="C24" s="63"/>
      <c r="D24" s="13"/>
      <c r="E24" s="13"/>
    </row>
    <row r="25" ht="14.25" customHeight="1" spans="1:5">
      <c r="A25" s="13" t="s">
        <v>339</v>
      </c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347</v>
      </c>
      <c r="B27" s="19" t="s">
        <v>348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/>
      <c r="B29" s="22" t="s">
        <v>349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350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C33" s="34"/>
      <c r="D33" s="30"/>
      <c r="E33" s="30"/>
    </row>
    <row r="34" ht="15" customHeight="1" spans="1:6">
      <c r="A34" s="1" t="s">
        <v>329</v>
      </c>
      <c r="C34" s="213"/>
      <c r="D34" s="68"/>
      <c r="E34" s="66"/>
    </row>
    <row r="35" ht="14.25" customHeight="1" spans="1:6">
      <c r="B35" s="213" t="s">
        <v>341</v>
      </c>
      <c r="C35" s="31">
        <v>210</v>
      </c>
      <c r="D35" s="68">
        <v>4100</v>
      </c>
      <c r="E35" s="66">
        <f>C35*D35</f>
        <v>861000</v>
      </c>
    </row>
    <row r="36" ht="14.25" customHeight="1" spans="1:6">
      <c r="B36" s="213" t="s">
        <v>351</v>
      </c>
      <c r="C36" s="31"/>
      <c r="D36" s="65"/>
      <c r="E36" s="66"/>
    </row>
    <row r="37" ht="15" customHeight="1" spans="1:6">
      <c r="A37" s="1"/>
      <c r="B37" s="213" t="s">
        <v>352</v>
      </c>
      <c r="C37" s="31"/>
      <c r="D37" s="65"/>
      <c r="E37" s="66"/>
      <c r="F37" s="79"/>
    </row>
    <row r="38" ht="15" customHeight="1" spans="1:6">
      <c r="A38" s="35"/>
      <c r="B38" s="231"/>
      <c r="C38" s="31"/>
      <c r="D38" s="65"/>
      <c r="E38" s="66"/>
    </row>
    <row r="39" ht="15" customHeight="1" spans="1:6">
      <c r="A39" s="34"/>
      <c r="B39" s="213"/>
      <c r="C39" s="31"/>
      <c r="D39" s="65"/>
      <c r="E39" s="66"/>
    </row>
    <row r="40" ht="15" customHeight="1" spans="1:6">
      <c r="A40" s="34"/>
      <c r="B40" s="213"/>
      <c r="C40" s="31"/>
      <c r="D40" s="65"/>
      <c r="E40" s="66"/>
    </row>
    <row r="41" ht="15" customHeight="1" spans="1:6">
      <c r="A41" s="34"/>
      <c r="B41" s="213"/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/>
      <c r="D45" s="36"/>
      <c r="E45" s="215" t="s">
        <v>353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A2:E9"/>
    <mergeCell ref="C17:E2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WhiteSpace="0" topLeftCell="A4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354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/>
      <c r="D16" s="59"/>
      <c r="E16" s="59"/>
    </row>
    <row r="17" ht="14.25" customHeight="1" spans="1:5">
      <c r="A17" s="13" t="s">
        <v>355</v>
      </c>
      <c r="B17" s="14"/>
      <c r="C17" s="61" t="s">
        <v>57</v>
      </c>
      <c r="D17" s="62"/>
      <c r="E17" s="62"/>
    </row>
    <row r="18" ht="14.25" customHeight="1" spans="1:5">
      <c r="A18" s="13" t="s">
        <v>356</v>
      </c>
      <c r="B18" s="14"/>
      <c r="C18" s="63"/>
      <c r="D18" s="13"/>
      <c r="E18" s="13"/>
    </row>
    <row r="19" ht="14.25" customHeight="1" spans="1:5">
      <c r="A19" s="13" t="s">
        <v>357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355</v>
      </c>
      <c r="B22" s="14"/>
      <c r="C22" s="63"/>
      <c r="D22" s="13"/>
      <c r="E22" s="13"/>
    </row>
    <row r="23" ht="14.25" customHeight="1" spans="1:5">
      <c r="A23" s="13" t="s">
        <v>356</v>
      </c>
      <c r="B23" s="14"/>
      <c r="C23" s="63"/>
      <c r="D23" s="13"/>
      <c r="E23" s="13"/>
    </row>
    <row r="24" ht="14.25" customHeight="1" spans="1:5">
      <c r="A24" s="13" t="s">
        <v>357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358</v>
      </c>
      <c r="B27" s="19" t="s">
        <v>89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/>
      <c r="B29" s="22" t="s">
        <v>359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206</v>
      </c>
      <c r="D31" s="36" t="s">
        <v>235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C33" s="34"/>
      <c r="D33" s="30" t="s">
        <v>360</v>
      </c>
      <c r="E33" s="30"/>
    </row>
    <row r="34" ht="15" customHeight="1" spans="1:6">
      <c r="A34" s="1" t="s">
        <v>329</v>
      </c>
      <c r="C34" s="213"/>
      <c r="D34" s="68"/>
      <c r="E34" s="66"/>
    </row>
    <row r="35" ht="14.25" customHeight="1" spans="1:6">
      <c r="B35" s="213" t="s">
        <v>361</v>
      </c>
      <c r="C35" s="31">
        <v>30</v>
      </c>
      <c r="D35" s="68">
        <v>4</v>
      </c>
      <c r="E35" s="66">
        <f>C35*D35</f>
        <v>120</v>
      </c>
    </row>
    <row r="36" ht="14.25" customHeight="1" spans="1:6">
      <c r="B36" s="213" t="s">
        <v>362</v>
      </c>
      <c r="C36" s="31"/>
      <c r="D36" s="65"/>
      <c r="E36" s="66"/>
    </row>
    <row r="37" ht="15" customHeight="1" spans="1:6">
      <c r="A37" s="1"/>
      <c r="B37" s="213" t="s">
        <v>352</v>
      </c>
      <c r="C37" s="31"/>
      <c r="D37" s="65"/>
      <c r="E37" s="66"/>
      <c r="F37" s="79"/>
    </row>
    <row r="38" ht="15" customHeight="1" spans="1:6">
      <c r="A38" s="35"/>
      <c r="B38" s="231"/>
      <c r="C38" s="31"/>
      <c r="D38" s="65"/>
      <c r="E38" s="66"/>
    </row>
    <row r="39" ht="15" customHeight="1" spans="1:6">
      <c r="A39" s="34"/>
      <c r="B39" s="213"/>
      <c r="C39" s="31"/>
      <c r="D39" s="65"/>
      <c r="E39" s="66"/>
    </row>
    <row r="40" ht="15" customHeight="1" spans="1:6">
      <c r="A40" s="34"/>
      <c r="B40" s="213"/>
      <c r="C40" s="31"/>
      <c r="D40" s="65"/>
      <c r="E40" s="66"/>
    </row>
    <row r="41" ht="15" customHeight="1" spans="1:6">
      <c r="A41" s="34"/>
      <c r="B41" s="213"/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/>
      <c r="D45" s="36"/>
      <c r="E45" s="215" t="s">
        <v>363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C17:E29"/>
    <mergeCell ref="A2:E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drawing r:id="rId1"/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8"/>
  <sheetViews>
    <sheetView workbookViewId="0">
      <selection activeCell="A23" sqref="A12:F25"/>
    </sheetView>
  </sheetViews>
  <sheetFormatPr defaultColWidth="9" defaultRowHeight="11.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9">
      <c r="A2" s="2" t="s">
        <v>65</v>
      </c>
      <c r="B2" s="2"/>
      <c r="C2" s="2"/>
      <c r="D2" s="2"/>
      <c r="E2" s="2"/>
      <c r="F2" s="2"/>
      <c r="G2" s="3"/>
    </row>
    <row r="3" ht="14.25" customHeight="1" spans="1:9">
      <c r="A3" s="2"/>
      <c r="B3" s="2"/>
      <c r="C3" s="2"/>
      <c r="D3" s="2"/>
      <c r="E3" s="2"/>
      <c r="F3" s="2"/>
      <c r="G3" s="3"/>
    </row>
    <row r="4" ht="14.25" customHeight="1" spans="1:9">
      <c r="A4" s="2"/>
      <c r="B4" s="2"/>
      <c r="C4" s="2"/>
      <c r="D4" s="2"/>
      <c r="E4" s="2"/>
      <c r="F4" s="2"/>
      <c r="G4" s="3"/>
    </row>
    <row r="5" ht="12" customHeight="1" spans="1:9">
      <c r="A5" s="2"/>
      <c r="B5" s="2"/>
      <c r="C5" s="2"/>
      <c r="D5" s="2"/>
      <c r="E5" s="2"/>
      <c r="F5" s="2"/>
      <c r="G5" s="3"/>
    </row>
    <row r="6" spans="1:9">
      <c r="A6" s="4"/>
      <c r="B6" s="4"/>
      <c r="C6" s="4"/>
      <c r="D6" s="4"/>
      <c r="E6" s="4"/>
      <c r="F6" s="4"/>
    </row>
    <row r="7" customFormat="1" ht="15" customHeight="1" spans="1:9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9">
      <c r="A8" s="13" t="s">
        <v>3</v>
      </c>
      <c r="B8" s="14"/>
      <c r="C8" s="9" t="s">
        <v>364</v>
      </c>
      <c r="D8" s="7"/>
      <c r="E8" s="7"/>
      <c r="F8" s="7"/>
    </row>
    <row r="9" customFormat="1" ht="15" customHeight="1" spans="1:9">
      <c r="A9" s="13" t="s">
        <v>50</v>
      </c>
      <c r="B9" s="14"/>
      <c r="C9" s="9"/>
      <c r="D9" s="7"/>
      <c r="E9" s="7"/>
      <c r="F9" s="7"/>
    </row>
    <row r="10" customFormat="1" ht="15" customHeight="1" spans="1:9">
      <c r="A10" s="7" t="s">
        <v>52</v>
      </c>
      <c r="B10" s="8"/>
      <c r="C10" s="9"/>
      <c r="D10" s="7"/>
      <c r="E10" s="7"/>
      <c r="F10" s="7"/>
    </row>
    <row r="11" customFormat="1" ht="15" customHeight="1" spans="1:9">
      <c r="A11" s="116"/>
      <c r="B11" s="117"/>
      <c r="C11" s="11"/>
      <c r="D11" s="12"/>
      <c r="E11" s="12"/>
      <c r="F11" s="12"/>
    </row>
    <row r="12" customFormat="1" ht="14.25" customHeight="1" spans="1:9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9">
      <c r="A13" s="13" t="s">
        <v>355</v>
      </c>
      <c r="B13" s="14"/>
      <c r="C13" s="15"/>
      <c r="D13" s="16"/>
      <c r="E13" s="16"/>
      <c r="F13" s="16"/>
    </row>
    <row r="14" customFormat="1" ht="14.25" customHeight="1" spans="1:9">
      <c r="A14" s="13" t="s">
        <v>356</v>
      </c>
      <c r="B14" s="14"/>
      <c r="C14" s="15"/>
      <c r="D14" s="16"/>
      <c r="E14" s="16"/>
      <c r="F14" s="16"/>
    </row>
    <row r="15" customFormat="1" ht="14.25" customHeight="1" spans="1:9">
      <c r="A15" s="13" t="s">
        <v>357</v>
      </c>
      <c r="B15" s="14"/>
      <c r="C15" s="15"/>
      <c r="D15" s="16"/>
      <c r="E15" s="16"/>
      <c r="F15" s="16"/>
      <c r="I15" s="214" t="s">
        <v>157</v>
      </c>
    </row>
    <row r="16" customFormat="1" ht="16.5" customHeight="1" spans="1:9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9"/>
      <c r="D17" s="16"/>
      <c r="E17" s="16"/>
      <c r="F17" s="16"/>
    </row>
    <row r="18" customFormat="1" ht="14.25" customHeight="1" spans="1:7">
      <c r="A18" s="13" t="s">
        <v>355</v>
      </c>
      <c r="B18" s="14"/>
      <c r="C18" s="15"/>
      <c r="D18" s="16"/>
      <c r="E18" s="16"/>
      <c r="F18" s="16"/>
    </row>
    <row r="19" customFormat="1" ht="14.25" customHeight="1" spans="1:7">
      <c r="A19" s="13" t="s">
        <v>356</v>
      </c>
      <c r="B19" s="14"/>
      <c r="C19" s="15"/>
      <c r="D19" s="16"/>
      <c r="E19" s="16"/>
      <c r="F19" s="16"/>
    </row>
    <row r="20" customFormat="1" ht="14.25" customHeight="1" spans="1:7">
      <c r="A20" s="13" t="s">
        <v>357</v>
      </c>
      <c r="B20" s="14"/>
      <c r="C20" s="15"/>
      <c r="D20" s="16"/>
      <c r="E20" s="16"/>
      <c r="F20" s="16"/>
    </row>
    <row r="21" customFormat="1" ht="12" customHeight="1" spans="1:7">
      <c r="A21" s="13"/>
      <c r="B21" s="14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 t="s">
        <v>358</v>
      </c>
      <c r="B23" s="19" t="s">
        <v>89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/>
      <c r="B25" s="22" t="s">
        <v>359</v>
      </c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/>
      <c r="C28" s="31"/>
      <c r="D28" s="32"/>
      <c r="E28" s="32"/>
      <c r="F28" s="33"/>
      <c r="G28" s="31"/>
    </row>
    <row r="29" ht="12" customHeight="1" spans="1:7">
      <c r="A29" s="34" t="s">
        <v>329</v>
      </c>
      <c r="B29" s="213" t="s">
        <v>365</v>
      </c>
      <c r="C29" s="31">
        <v>6</v>
      </c>
      <c r="D29" s="73" t="s">
        <v>366</v>
      </c>
      <c r="E29" s="73" t="s">
        <v>367</v>
      </c>
      <c r="F29" s="40"/>
      <c r="G29" s="31"/>
    </row>
    <row r="30" spans="1:7">
      <c r="A30" s="35"/>
      <c r="B30" s="213" t="s">
        <v>362</v>
      </c>
      <c r="C30" s="36"/>
      <c r="D30" s="35"/>
      <c r="E30" s="35"/>
      <c r="F30" s="35"/>
      <c r="G30" s="35"/>
    </row>
    <row r="31" s="67" customFormat="1" ht="19.5" customHeight="1" spans="1:7">
      <c r="A31" s="41"/>
      <c r="B31" s="213" t="s">
        <v>368</v>
      </c>
      <c r="C31" s="35"/>
      <c r="D31" s="35"/>
      <c r="E31" s="35"/>
      <c r="F31" s="35"/>
      <c r="G31" s="35"/>
    </row>
    <row r="32" s="67" customFormat="1" ht="10.5" customHeight="1" spans="1:7">
      <c r="A32" s="35"/>
      <c r="B32" s="35" t="s">
        <v>369</v>
      </c>
      <c r="C32" s="35"/>
      <c r="D32" s="129"/>
      <c r="E32" s="35"/>
      <c r="F32" s="35"/>
      <c r="G32" s="35"/>
    </row>
    <row r="33" s="67" customFormat="1" ht="12" customHeight="1" spans="1:9">
      <c r="A33" s="35"/>
      <c r="C33" s="34"/>
      <c r="D33" s="130"/>
      <c r="E33" s="130"/>
      <c r="F33" s="34"/>
      <c r="G33" s="35"/>
      <c r="H33" s="233"/>
      <c r="I33" s="233"/>
    </row>
    <row r="34" s="67" customFormat="1" ht="11.25" spans="1:9">
      <c r="B34" s="136"/>
      <c r="C34" s="136"/>
      <c r="D34" s="233"/>
      <c r="E34" s="233"/>
      <c r="F34" s="34"/>
      <c r="H34" s="233"/>
      <c r="I34" s="233"/>
    </row>
    <row r="35" s="67" customFormat="1" ht="11.25" spans="1:9">
      <c r="A35" s="35"/>
      <c r="B35" s="234"/>
      <c r="C35" s="234"/>
      <c r="D35" s="233"/>
      <c r="E35" s="233"/>
      <c r="F35" s="34"/>
      <c r="G35" s="35"/>
      <c r="H35" s="233"/>
      <c r="I35" s="233"/>
    </row>
    <row r="36" s="67" customFormat="1" ht="12" customHeight="1" spans="1:9">
      <c r="A36" s="35"/>
      <c r="B36" s="226"/>
      <c r="C36" s="234"/>
      <c r="D36" s="233"/>
      <c r="E36" s="233"/>
      <c r="F36" s="34"/>
      <c r="G36" s="35"/>
      <c r="H36" s="233"/>
      <c r="I36" s="233"/>
    </row>
    <row r="37" s="67" customFormat="1" ht="12" customHeight="1" spans="1:9">
      <c r="A37" s="35"/>
      <c r="B37" s="226"/>
      <c r="C37" s="34"/>
      <c r="D37" s="233"/>
      <c r="E37" s="233"/>
      <c r="F37" s="34"/>
      <c r="G37" s="35"/>
      <c r="H37" s="233"/>
      <c r="I37" s="233"/>
    </row>
    <row r="38" s="67" customFormat="1" ht="12" customHeight="1" spans="1:9">
      <c r="A38" s="35"/>
      <c r="B38" s="226"/>
      <c r="C38" s="34"/>
      <c r="D38" s="235"/>
      <c r="E38" s="233"/>
      <c r="F38" s="34"/>
      <c r="G38" s="35"/>
    </row>
    <row r="39" s="67" customFormat="1" ht="12" customHeight="1" spans="1:9">
      <c r="A39" s="35"/>
      <c r="B39" s="234"/>
      <c r="C39" s="34"/>
      <c r="D39" s="130"/>
      <c r="E39" s="130"/>
      <c r="F39" s="34"/>
      <c r="G39" s="35"/>
    </row>
    <row r="40" s="67" customFormat="1" ht="12" customHeight="1" spans="1:9">
      <c r="A40" s="35"/>
      <c r="B40" s="226"/>
      <c r="C40" s="34"/>
      <c r="D40" s="130"/>
      <c r="E40" s="130"/>
      <c r="F40" s="34"/>
      <c r="G40" s="35"/>
    </row>
    <row r="41" s="67" customFormat="1" ht="12" customHeight="1" spans="1:9">
      <c r="A41" s="35"/>
      <c r="B41" s="226"/>
      <c r="C41" s="34"/>
      <c r="D41" s="130"/>
      <c r="E41" s="130"/>
      <c r="F41" s="34"/>
      <c r="G41" s="35"/>
    </row>
    <row r="42" s="67" customFormat="1" ht="12" customHeight="1" spans="1:9">
      <c r="A42" s="35"/>
      <c r="B42" s="35"/>
      <c r="C42" s="34"/>
      <c r="D42" s="130"/>
      <c r="E42" s="130"/>
      <c r="F42" s="34"/>
      <c r="G42" s="131"/>
      <c r="H42" s="139"/>
      <c r="I42" s="139"/>
    </row>
    <row r="43" ht="12.35" spans="1:9">
      <c r="A43" s="37"/>
      <c r="B43" s="37"/>
      <c r="C43" s="37"/>
      <c r="D43" s="38"/>
      <c r="E43" s="38"/>
      <c r="F43" s="38"/>
      <c r="G43" s="39"/>
    </row>
    <row r="44" s="128" customFormat="1" ht="12.35" spans="1:9">
      <c r="A44" s="34"/>
      <c r="B44" s="34" t="s">
        <v>36</v>
      </c>
      <c r="C44" s="34" t="s">
        <v>370</v>
      </c>
      <c r="D44" s="73" t="s">
        <v>366</v>
      </c>
      <c r="E44" s="73" t="s">
        <v>367</v>
      </c>
      <c r="F44" s="133" t="s">
        <v>371</v>
      </c>
      <c r="G44" s="34"/>
    </row>
    <row r="45" ht="21.75" customHeight="1" spans="1:9">
      <c r="B45" s="67" t="s">
        <v>36</v>
      </c>
      <c r="D45" s="211"/>
      <c r="E45" s="211"/>
    </row>
    <row r="46" spans="1:9">
      <c r="C46" s="42"/>
      <c r="D46" s="212"/>
      <c r="E46" s="212"/>
      <c r="F46" s="212"/>
      <c r="G46" s="42"/>
    </row>
    <row r="48" spans="1:9">
      <c r="D48" s="43" t="s">
        <v>83</v>
      </c>
      <c r="E48" s="43"/>
      <c r="F48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7:B17"/>
    <mergeCell ref="A18:B18"/>
    <mergeCell ref="A19:B19"/>
    <mergeCell ref="A20:B20"/>
    <mergeCell ref="A27:G27"/>
    <mergeCell ref="A43:B43"/>
    <mergeCell ref="C12:F25"/>
    <mergeCell ref="A2:F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topLeftCell="A4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372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373</v>
      </c>
      <c r="D16" s="59"/>
      <c r="E16" s="59"/>
    </row>
    <row r="17" ht="14.25" customHeight="1" spans="1:5">
      <c r="A17" s="13" t="s">
        <v>303</v>
      </c>
      <c r="B17" s="14"/>
      <c r="C17" s="61" t="s">
        <v>374</v>
      </c>
      <c r="D17" s="62"/>
      <c r="E17" s="62"/>
    </row>
    <row r="18" ht="14.25" customHeight="1" spans="1:5">
      <c r="A18" s="13" t="s">
        <v>304</v>
      </c>
      <c r="B18" s="14"/>
      <c r="C18" s="63"/>
      <c r="D18" s="13"/>
      <c r="E18" s="13"/>
    </row>
    <row r="19" ht="14.25" customHeight="1" spans="1:5">
      <c r="A19" s="13" t="s">
        <v>305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303</v>
      </c>
      <c r="B22" s="14"/>
      <c r="C22" s="63"/>
      <c r="D22" s="13"/>
      <c r="E22" s="13"/>
    </row>
    <row r="23" ht="14.25" customHeight="1" spans="1:5">
      <c r="A23" s="13" t="s">
        <v>304</v>
      </c>
      <c r="B23" s="14"/>
      <c r="C23" s="63"/>
      <c r="D23" s="13"/>
      <c r="E23" s="13"/>
    </row>
    <row r="24" ht="14.25" customHeight="1" spans="1:5">
      <c r="A24" s="13" t="s">
        <v>305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375</v>
      </c>
      <c r="B27" s="19" t="s">
        <v>376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377</v>
      </c>
      <c r="B29" s="22" t="s">
        <v>378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206</v>
      </c>
      <c r="D31" s="36" t="s">
        <v>235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B33" s="29"/>
      <c r="C33" s="29" t="s">
        <v>291</v>
      </c>
      <c r="D33" s="30" t="s">
        <v>379</v>
      </c>
      <c r="E33" s="30"/>
    </row>
    <row r="34" ht="15" customHeight="1" spans="1:6">
      <c r="A34" s="1" t="s">
        <v>329</v>
      </c>
      <c r="B34" s="213"/>
      <c r="C34" s="31"/>
      <c r="D34" s="65"/>
      <c r="E34" s="66"/>
    </row>
    <row r="35" ht="14.25" customHeight="1" spans="1:6">
      <c r="A35" s="1"/>
      <c r="B35" s="232" t="s">
        <v>317</v>
      </c>
      <c r="C35" s="31">
        <v>5000</v>
      </c>
      <c r="D35" s="65">
        <v>8.8</v>
      </c>
      <c r="E35" s="66">
        <f>C35*D35</f>
        <v>44000</v>
      </c>
    </row>
    <row r="36" ht="14.25" customHeight="1" spans="1:6">
      <c r="B36" s="232" t="s">
        <v>224</v>
      </c>
      <c r="C36" s="31"/>
      <c r="D36" s="65"/>
      <c r="E36" s="66"/>
    </row>
    <row r="37" ht="15" customHeight="1" spans="1:6">
      <c r="A37" s="1"/>
      <c r="B37" s="232" t="s">
        <v>380</v>
      </c>
      <c r="C37" s="31"/>
      <c r="D37" s="65"/>
      <c r="E37" s="66"/>
      <c r="F37" s="79"/>
    </row>
    <row r="38" ht="15" customHeight="1" spans="1:6">
      <c r="A38" s="35"/>
      <c r="B38" s="231"/>
      <c r="C38" s="31"/>
      <c r="D38" s="65"/>
      <c r="E38" s="66"/>
    </row>
    <row r="39" ht="15" customHeight="1" spans="1:6">
      <c r="A39" s="34"/>
      <c r="B39" s="213"/>
      <c r="C39" s="31"/>
      <c r="D39" s="65"/>
      <c r="E39" s="66"/>
    </row>
    <row r="40" ht="15" customHeight="1" spans="1:6">
      <c r="A40" s="34"/>
      <c r="B40" s="213"/>
      <c r="C40" s="31"/>
      <c r="D40" s="65"/>
      <c r="E40" s="66"/>
    </row>
    <row r="41" ht="15" customHeight="1" spans="1:6">
      <c r="A41" s="34"/>
      <c r="B41" s="213"/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 t="s">
        <v>381</v>
      </c>
      <c r="D45" s="36"/>
      <c r="E45" s="215" t="s">
        <v>382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A2:E9"/>
    <mergeCell ref="C17:E2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drawing r:id="rId1"/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8"/>
  <sheetViews>
    <sheetView topLeftCell="A10" workbookViewId="0">
      <selection activeCell="E36" sqref="E36"/>
    </sheetView>
  </sheetViews>
  <sheetFormatPr defaultColWidth="9" defaultRowHeight="11.6" outlineLevelCol="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372</v>
      </c>
      <c r="D8" s="7"/>
      <c r="E8" s="7"/>
      <c r="F8" s="7"/>
    </row>
    <row r="9" customFormat="1" ht="15" customHeight="1" spans="1:7">
      <c r="A9" s="13" t="s">
        <v>50</v>
      </c>
      <c r="B9" s="14"/>
      <c r="C9" s="9"/>
      <c r="D9" s="7"/>
      <c r="E9" s="7"/>
      <c r="F9" s="7"/>
    </row>
    <row r="10" customFormat="1" ht="15" customHeight="1" spans="1:7">
      <c r="A10" s="7" t="s">
        <v>52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7">
      <c r="A13" s="13" t="s">
        <v>303</v>
      </c>
      <c r="B13" s="14"/>
      <c r="C13" s="15"/>
      <c r="D13" s="16"/>
      <c r="E13" s="16"/>
      <c r="F13" s="16"/>
    </row>
    <row r="14" customFormat="1" ht="14.25" customHeight="1" spans="1:7">
      <c r="A14" s="13" t="s">
        <v>304</v>
      </c>
      <c r="B14" s="14"/>
      <c r="C14" s="15"/>
      <c r="D14" s="16"/>
      <c r="E14" s="16"/>
      <c r="F14" s="16"/>
    </row>
    <row r="15" customFormat="1" ht="14.25" customHeight="1" spans="1:7">
      <c r="A15" s="13" t="s">
        <v>305</v>
      </c>
      <c r="B15" s="14"/>
      <c r="C15" s="15"/>
      <c r="D15" s="16"/>
      <c r="E15" s="16"/>
      <c r="F15" s="16"/>
    </row>
    <row r="16" customFormat="1" ht="16.5" customHeight="1" spans="1:7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15"/>
      <c r="D17" s="16"/>
      <c r="E17" s="16"/>
      <c r="F17" s="16"/>
    </row>
    <row r="18" customFormat="1" ht="14.25" customHeight="1" spans="1:7">
      <c r="A18" s="13" t="s">
        <v>303</v>
      </c>
      <c r="B18" s="14"/>
      <c r="C18" s="15"/>
      <c r="D18" s="16"/>
      <c r="E18" s="16"/>
      <c r="F18" s="16"/>
    </row>
    <row r="19" customFormat="1" ht="14.25" customHeight="1" spans="1:7">
      <c r="A19" s="13" t="s">
        <v>304</v>
      </c>
      <c r="B19" s="14"/>
      <c r="C19" s="15"/>
      <c r="D19" s="16"/>
      <c r="E19" s="16"/>
      <c r="F19" s="16"/>
    </row>
    <row r="20" customFormat="1" ht="14.25" customHeight="1" spans="1:7">
      <c r="A20" s="13" t="s">
        <v>305</v>
      </c>
      <c r="B20" s="14"/>
      <c r="C20" s="15"/>
      <c r="D20" s="16"/>
      <c r="E20" s="16"/>
      <c r="F20" s="16"/>
    </row>
    <row r="21" customFormat="1" ht="12" customHeight="1" spans="1:7">
      <c r="A21" s="13"/>
      <c r="B21" s="14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 t="s">
        <v>375</v>
      </c>
      <c r="B23" s="19" t="s">
        <v>376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 t="s">
        <v>377</v>
      </c>
      <c r="B25" s="22" t="s">
        <v>378</v>
      </c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/>
      <c r="C28" s="31"/>
      <c r="D28" s="32"/>
      <c r="E28" s="32"/>
      <c r="F28" s="33"/>
      <c r="G28" s="31"/>
    </row>
    <row r="29" ht="12" customHeight="1" spans="1:7">
      <c r="A29" s="34"/>
      <c r="B29" s="73" t="s">
        <v>317</v>
      </c>
      <c r="C29" s="31" t="s">
        <v>383</v>
      </c>
      <c r="D29" s="32" t="s">
        <v>381</v>
      </c>
      <c r="E29" s="32" t="s">
        <v>384</v>
      </c>
      <c r="F29" s="33" t="s">
        <v>385</v>
      </c>
      <c r="G29" s="31"/>
    </row>
    <row r="30" spans="1:7">
      <c r="A30" s="35"/>
      <c r="B30" s="34" t="s">
        <v>386</v>
      </c>
      <c r="C30" s="31"/>
      <c r="D30" s="35"/>
      <c r="E30" s="35"/>
      <c r="F30" s="35"/>
      <c r="G30" s="35"/>
    </row>
    <row r="31" s="67" customFormat="1" ht="19.5" customHeight="1" spans="1:7">
      <c r="A31" s="41"/>
      <c r="B31" s="35"/>
      <c r="C31" s="35"/>
      <c r="D31" s="35"/>
      <c r="E31" s="35"/>
      <c r="F31" s="35"/>
      <c r="G31" s="35"/>
    </row>
    <row r="32" s="67" customFormat="1" ht="10.5" customHeight="1" spans="1:7">
      <c r="A32" s="35"/>
      <c r="B32" s="30"/>
      <c r="C32" s="30"/>
      <c r="D32" s="30"/>
      <c r="E32" s="35"/>
      <c r="F32" s="35"/>
      <c r="G32" s="35"/>
    </row>
    <row r="33" s="67" customFormat="1" ht="12" customHeight="1" spans="1:7">
      <c r="A33" s="35"/>
      <c r="B33" s="35"/>
      <c r="C33" s="34"/>
      <c r="D33" s="130"/>
      <c r="E33" s="130"/>
      <c r="F33" s="34"/>
      <c r="G33" s="35"/>
    </row>
    <row r="34" s="67" customFormat="1" ht="11.25" spans="1:7">
      <c r="B34" s="226"/>
      <c r="D34" s="130"/>
      <c r="E34" s="130"/>
      <c r="F34" s="34"/>
    </row>
    <row r="35" s="67" customFormat="1" ht="11.25" spans="1:7">
      <c r="A35" s="35"/>
      <c r="B35" s="226"/>
      <c r="C35" s="34"/>
      <c r="D35" s="130"/>
      <c r="E35" s="130"/>
      <c r="F35" s="34"/>
      <c r="G35" s="35"/>
    </row>
    <row r="36" s="67" customFormat="1" ht="12" customHeight="1" spans="1:7">
      <c r="A36" s="35"/>
      <c r="B36" s="226"/>
      <c r="C36" s="34"/>
      <c r="D36" s="130"/>
      <c r="E36" s="130"/>
      <c r="F36" s="34"/>
      <c r="G36" s="35"/>
    </row>
    <row r="37" s="67" customFormat="1" ht="12" customHeight="1" spans="1:7">
      <c r="A37" s="35"/>
      <c r="B37" s="226"/>
      <c r="C37" s="34"/>
      <c r="D37" s="130"/>
      <c r="E37" s="130"/>
      <c r="F37" s="34"/>
      <c r="G37" s="35"/>
    </row>
    <row r="38" s="67" customFormat="1" ht="12" customHeight="1" spans="1:7">
      <c r="A38" s="35"/>
      <c r="B38" s="226"/>
      <c r="C38" s="34"/>
      <c r="D38" s="130"/>
      <c r="E38" s="130"/>
      <c r="F38" s="34"/>
      <c r="G38" s="35"/>
    </row>
    <row r="39" s="67" customFormat="1" ht="12" customHeight="1" spans="1:7">
      <c r="A39" s="35"/>
      <c r="B39" s="226"/>
      <c r="C39" s="34"/>
      <c r="D39" s="130"/>
      <c r="E39" s="130"/>
      <c r="F39" s="34"/>
      <c r="G39" s="35"/>
    </row>
    <row r="40" s="67" customFormat="1" ht="12" customHeight="1" spans="1:7">
      <c r="A40" s="35"/>
      <c r="B40" s="226"/>
      <c r="C40" s="34"/>
      <c r="D40" s="130"/>
      <c r="E40" s="130"/>
      <c r="F40" s="34"/>
      <c r="G40" s="35"/>
    </row>
    <row r="41" s="67" customFormat="1" ht="12" customHeight="1" spans="1:7">
      <c r="A41" s="35"/>
      <c r="B41" s="226"/>
      <c r="C41" s="34"/>
      <c r="D41" s="130"/>
      <c r="E41" s="130"/>
      <c r="F41" s="34"/>
      <c r="G41" s="35"/>
    </row>
    <row r="42" s="67" customFormat="1" ht="12" customHeight="1" spans="1:7">
      <c r="A42" s="35"/>
      <c r="B42" s="35"/>
      <c r="C42" s="34"/>
      <c r="D42" s="130"/>
      <c r="E42" s="130"/>
      <c r="F42" s="34"/>
      <c r="G42" s="131"/>
    </row>
    <row r="43" ht="12.35" spans="1:7">
      <c r="A43" s="37"/>
      <c r="B43" s="37"/>
      <c r="C43" s="37"/>
      <c r="D43" s="38"/>
      <c r="E43" s="38"/>
      <c r="F43" s="38"/>
      <c r="G43" s="39"/>
    </row>
    <row r="44" s="128" customFormat="1" ht="12.35" spans="1:7">
      <c r="A44" s="34"/>
      <c r="B44" s="34" t="s">
        <v>36</v>
      </c>
      <c r="C44" s="34" t="s">
        <v>383</v>
      </c>
      <c r="D44" s="132" t="s">
        <v>381</v>
      </c>
      <c r="E44" s="132" t="s">
        <v>384</v>
      </c>
      <c r="F44" s="133" t="s">
        <v>387</v>
      </c>
      <c r="G44" s="34"/>
    </row>
    <row r="45" ht="21.75" customHeight="1" spans="1:7">
      <c r="D45" s="211"/>
      <c r="E45" s="211"/>
    </row>
    <row r="46" spans="1:7">
      <c r="C46" s="42"/>
      <c r="D46" s="212"/>
      <c r="E46" s="212"/>
      <c r="F46" s="212"/>
      <c r="G46" s="42"/>
    </row>
    <row r="48" spans="1:7">
      <c r="D48" s="43" t="s">
        <v>83</v>
      </c>
      <c r="E48" s="43"/>
      <c r="F48" s="211"/>
    </row>
  </sheetData>
  <mergeCells count="23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7:B17"/>
    <mergeCell ref="A18:B18"/>
    <mergeCell ref="A19:B19"/>
    <mergeCell ref="A20:B20"/>
    <mergeCell ref="A27:G27"/>
    <mergeCell ref="B32:D32"/>
    <mergeCell ref="A43:B43"/>
    <mergeCell ref="A2:F6"/>
    <mergeCell ref="C12:F25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WhiteSpace="0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388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389</v>
      </c>
      <c r="D16" s="59"/>
      <c r="E16" s="59"/>
    </row>
    <row r="17" ht="14.25" customHeight="1" spans="1:5">
      <c r="A17" s="13" t="s">
        <v>390</v>
      </c>
      <c r="B17" s="14"/>
      <c r="C17" s="61" t="s">
        <v>57</v>
      </c>
      <c r="D17" s="62"/>
      <c r="E17" s="62"/>
    </row>
    <row r="18" ht="14.25" customHeight="1" spans="1:5">
      <c r="A18" s="13" t="s">
        <v>391</v>
      </c>
      <c r="B18" s="14"/>
      <c r="C18" s="63"/>
      <c r="D18" s="13"/>
      <c r="E18" s="13"/>
    </row>
    <row r="19" ht="14.25" customHeight="1" spans="1:5">
      <c r="A19" s="13" t="s">
        <v>392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390</v>
      </c>
      <c r="B22" s="14"/>
      <c r="C22" s="63"/>
      <c r="D22" s="13"/>
      <c r="E22" s="13"/>
    </row>
    <row r="23" ht="14.25" customHeight="1" spans="1:5">
      <c r="A23" s="13" t="s">
        <v>391</v>
      </c>
      <c r="B23" s="14"/>
      <c r="C23" s="63"/>
      <c r="D23" s="13"/>
      <c r="E23" s="13"/>
    </row>
    <row r="24" ht="14.25" customHeight="1" spans="1:5">
      <c r="A24" s="13" t="s">
        <v>392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393</v>
      </c>
      <c r="B27" s="19" t="s">
        <v>394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395</v>
      </c>
      <c r="B29" s="22" t="s">
        <v>396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397</v>
      </c>
      <c r="E31" s="64" t="s">
        <v>398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B33" s="29"/>
      <c r="C33" s="29" t="s">
        <v>291</v>
      </c>
      <c r="D33" s="30" t="s">
        <v>399</v>
      </c>
      <c r="E33" s="30"/>
    </row>
    <row r="34" ht="15" customHeight="1" spans="1:6">
      <c r="A34" s="1" t="s">
        <v>329</v>
      </c>
      <c r="B34" s="213"/>
      <c r="C34" s="31"/>
      <c r="D34" s="65"/>
      <c r="E34" s="66"/>
    </row>
    <row r="35" ht="14.25" customHeight="1" spans="1:6">
      <c r="B35" s="213" t="s">
        <v>400</v>
      </c>
      <c r="C35" s="31">
        <v>22.5</v>
      </c>
      <c r="D35" s="65">
        <v>5200</v>
      </c>
      <c r="E35" s="66">
        <f>C35*D35</f>
        <v>117000</v>
      </c>
    </row>
    <row r="36" ht="14.25" customHeight="1" spans="1:6">
      <c r="B36" s="213"/>
      <c r="C36" s="31"/>
      <c r="D36" s="65"/>
      <c r="E36" s="66"/>
    </row>
    <row r="37" ht="15" customHeight="1" spans="1:6">
      <c r="A37" s="1"/>
      <c r="B37" s="213"/>
      <c r="C37" s="31"/>
      <c r="D37" s="65"/>
      <c r="E37" s="66"/>
      <c r="F37" s="79"/>
    </row>
    <row r="38" ht="15" customHeight="1" spans="1:6">
      <c r="A38" s="35"/>
      <c r="B38" s="231"/>
      <c r="C38" s="31"/>
      <c r="D38" s="65"/>
      <c r="E38" s="66"/>
    </row>
    <row r="39" ht="15" customHeight="1" spans="1:6">
      <c r="A39" s="34"/>
      <c r="B39" s="213"/>
      <c r="C39" s="31"/>
      <c r="D39" s="65"/>
      <c r="E39" s="66"/>
    </row>
    <row r="40" ht="15" customHeight="1" spans="1:6">
      <c r="A40" s="34"/>
      <c r="B40" s="213"/>
      <c r="C40" s="31"/>
      <c r="D40" s="65"/>
      <c r="E40" s="66"/>
    </row>
    <row r="41" ht="15" customHeight="1" spans="1:6">
      <c r="A41" s="34"/>
      <c r="B41" s="213"/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 t="s">
        <v>401</v>
      </c>
      <c r="D45" s="36"/>
      <c r="E45" s="215" t="s">
        <v>402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A2:E9"/>
    <mergeCell ref="C17:E2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drawing r:id="rId1"/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8"/>
  <sheetViews>
    <sheetView workbookViewId="0">
      <selection activeCell="A23" sqref="A12:F25"/>
    </sheetView>
  </sheetViews>
  <sheetFormatPr defaultColWidth="9" defaultRowHeight="11.6" outlineLevelCol="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388</v>
      </c>
      <c r="D8" s="7"/>
      <c r="E8" s="7"/>
      <c r="F8" s="7"/>
    </row>
    <row r="9" customFormat="1" ht="15" customHeight="1" spans="1:7">
      <c r="A9" s="13" t="s">
        <v>50</v>
      </c>
      <c r="B9" s="14"/>
      <c r="C9" s="9"/>
      <c r="D9" s="7"/>
      <c r="E9" s="7"/>
      <c r="F9" s="7"/>
    </row>
    <row r="10" customFormat="1" ht="15" customHeight="1" spans="1:7">
      <c r="A10" s="7" t="s">
        <v>52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7">
      <c r="A13" s="13" t="s">
        <v>390</v>
      </c>
      <c r="B13" s="14"/>
      <c r="C13" s="15"/>
      <c r="D13" s="16"/>
      <c r="E13" s="16"/>
      <c r="F13" s="16"/>
    </row>
    <row r="14" customFormat="1" ht="14.25" customHeight="1" spans="1:7">
      <c r="A14" s="13" t="s">
        <v>391</v>
      </c>
      <c r="B14" s="14"/>
      <c r="C14" s="15"/>
      <c r="D14" s="16"/>
      <c r="E14" s="16"/>
      <c r="F14" s="16"/>
    </row>
    <row r="15" customFormat="1" ht="14.25" customHeight="1" spans="1:7">
      <c r="A15" s="13" t="s">
        <v>392</v>
      </c>
      <c r="B15" s="14"/>
      <c r="C15" s="15"/>
      <c r="D15" s="16"/>
      <c r="E15" s="16"/>
      <c r="F15" s="16"/>
    </row>
    <row r="16" customFormat="1" ht="16.5" customHeight="1" spans="1:7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15"/>
      <c r="D17" s="16"/>
      <c r="E17" s="16"/>
      <c r="F17" s="16"/>
    </row>
    <row r="18" customFormat="1" ht="14.25" customHeight="1" spans="1:7">
      <c r="A18" s="13" t="s">
        <v>390</v>
      </c>
      <c r="B18" s="14"/>
      <c r="C18" s="15"/>
      <c r="D18" s="16"/>
      <c r="E18" s="16"/>
      <c r="F18" s="16"/>
    </row>
    <row r="19" customFormat="1" ht="14.25" customHeight="1" spans="1:7">
      <c r="A19" s="13" t="s">
        <v>391</v>
      </c>
      <c r="B19" s="14"/>
      <c r="C19" s="15"/>
      <c r="D19" s="16"/>
      <c r="E19" s="16"/>
      <c r="F19" s="16"/>
    </row>
    <row r="20" customFormat="1" ht="14.25" customHeight="1" spans="1:7">
      <c r="A20" s="13" t="s">
        <v>392</v>
      </c>
      <c r="B20" s="14"/>
      <c r="C20" s="15"/>
      <c r="D20" s="16"/>
      <c r="E20" s="16"/>
      <c r="F20" s="16"/>
    </row>
    <row r="21" customFormat="1" ht="12" customHeight="1" spans="1:7">
      <c r="A21" s="13"/>
      <c r="B21" s="14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 t="s">
        <v>393</v>
      </c>
      <c r="B23" s="19" t="s">
        <v>394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 t="s">
        <v>395</v>
      </c>
      <c r="B25" s="22" t="s">
        <v>396</v>
      </c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/>
      <c r="C28" s="31"/>
      <c r="D28" s="32"/>
      <c r="E28" s="32"/>
      <c r="F28" s="33"/>
      <c r="G28" s="31"/>
    </row>
    <row r="29" ht="12" customHeight="1" spans="1:7">
      <c r="A29" s="34"/>
      <c r="B29" s="213" t="s">
        <v>400</v>
      </c>
      <c r="C29" s="31" t="s">
        <v>403</v>
      </c>
      <c r="D29" s="32" t="s">
        <v>404</v>
      </c>
      <c r="E29" s="32" t="s">
        <v>405</v>
      </c>
      <c r="F29" s="33" t="s">
        <v>406</v>
      </c>
      <c r="G29" s="31"/>
    </row>
    <row r="30" spans="1:7">
      <c r="A30" s="35"/>
      <c r="B30" s="34" t="s">
        <v>407</v>
      </c>
      <c r="C30" s="31"/>
      <c r="D30" s="35"/>
      <c r="E30" s="35"/>
      <c r="F30" s="35"/>
      <c r="G30" s="35"/>
    </row>
    <row r="31" s="67" customFormat="1" ht="19.5" customHeight="1" spans="1:7">
      <c r="A31" s="41"/>
      <c r="B31" s="35"/>
      <c r="C31" s="35"/>
      <c r="D31" s="35"/>
      <c r="E31" s="35"/>
      <c r="F31" s="35"/>
      <c r="G31" s="35"/>
    </row>
    <row r="32" s="67" customFormat="1" ht="10.5" customHeight="1" spans="1:7">
      <c r="A32" s="35"/>
      <c r="B32" s="30" t="s">
        <v>408</v>
      </c>
      <c r="C32" s="30"/>
      <c r="D32" s="30"/>
      <c r="E32" s="35"/>
      <c r="F32" s="35"/>
      <c r="G32" s="35"/>
    </row>
    <row r="33" s="67" customFormat="1" ht="12" customHeight="1" spans="1:7">
      <c r="A33" s="35"/>
      <c r="B33" s="35"/>
      <c r="C33" s="34"/>
      <c r="D33" s="130"/>
      <c r="E33" s="130"/>
      <c r="F33" s="34"/>
      <c r="G33" s="35"/>
    </row>
    <row r="34" s="67" customFormat="1" ht="11.25" spans="1:7">
      <c r="B34" s="226"/>
      <c r="D34" s="130"/>
      <c r="E34" s="130"/>
      <c r="F34" s="34"/>
    </row>
    <row r="35" s="67" customFormat="1" ht="11.25" spans="1:7">
      <c r="A35" s="35"/>
      <c r="B35" s="226"/>
      <c r="C35" s="34"/>
      <c r="D35" s="130"/>
      <c r="E35" s="130"/>
      <c r="F35" s="34"/>
      <c r="G35" s="35"/>
    </row>
    <row r="36" s="67" customFormat="1" ht="12" customHeight="1" spans="1:7">
      <c r="A36" s="35"/>
      <c r="B36" s="226"/>
      <c r="C36" s="34"/>
      <c r="D36" s="130"/>
      <c r="E36" s="130"/>
      <c r="F36" s="34"/>
      <c r="G36" s="35"/>
    </row>
    <row r="37" s="67" customFormat="1" ht="12" customHeight="1" spans="1:7">
      <c r="A37" s="35"/>
      <c r="B37" s="226"/>
      <c r="C37" s="34"/>
      <c r="D37" s="130"/>
      <c r="E37" s="130"/>
      <c r="F37" s="34"/>
      <c r="G37" s="35"/>
    </row>
    <row r="38" s="67" customFormat="1" ht="12" customHeight="1" spans="1:7">
      <c r="A38" s="35"/>
      <c r="B38" s="226"/>
      <c r="C38" s="34"/>
      <c r="D38" s="130"/>
      <c r="E38" s="130"/>
      <c r="F38" s="34"/>
      <c r="G38" s="35"/>
    </row>
    <row r="39" s="67" customFormat="1" ht="12" customHeight="1" spans="1:7">
      <c r="A39" s="35"/>
      <c r="B39" s="226"/>
      <c r="C39" s="34"/>
      <c r="D39" s="130"/>
      <c r="E39" s="130"/>
      <c r="F39" s="34"/>
      <c r="G39" s="35"/>
    </row>
    <row r="40" s="67" customFormat="1" ht="12" customHeight="1" spans="1:7">
      <c r="A40" s="35"/>
      <c r="B40" s="226"/>
      <c r="C40" s="34"/>
      <c r="D40" s="130"/>
      <c r="E40" s="130"/>
      <c r="F40" s="34"/>
      <c r="G40" s="35"/>
    </row>
    <row r="41" s="67" customFormat="1" ht="12" customHeight="1" spans="1:7">
      <c r="A41" s="35"/>
      <c r="B41" s="226"/>
      <c r="C41" s="34"/>
      <c r="D41" s="130"/>
      <c r="E41" s="130"/>
      <c r="F41" s="34"/>
      <c r="G41" s="35"/>
    </row>
    <row r="42" s="67" customFormat="1" ht="12" customHeight="1" spans="1:7">
      <c r="A42" s="35"/>
      <c r="B42" s="35"/>
      <c r="C42" s="34"/>
      <c r="D42" s="130"/>
      <c r="E42" s="130"/>
      <c r="F42" s="34"/>
      <c r="G42" s="131"/>
    </row>
    <row r="43" ht="12.35" spans="1:7">
      <c r="A43" s="37"/>
      <c r="B43" s="37"/>
      <c r="C43" s="37"/>
      <c r="D43" s="38"/>
      <c r="E43" s="38"/>
      <c r="F43" s="38"/>
      <c r="G43" s="39"/>
    </row>
    <row r="44" s="128" customFormat="1" ht="12.35" spans="1:7">
      <c r="A44" s="34"/>
      <c r="B44" s="34" t="s">
        <v>36</v>
      </c>
      <c r="C44" s="34" t="s">
        <v>409</v>
      </c>
      <c r="D44" s="132" t="s">
        <v>404</v>
      </c>
      <c r="E44" s="132" t="s">
        <v>405</v>
      </c>
      <c r="F44" s="133" t="s">
        <v>406</v>
      </c>
      <c r="G44" s="34"/>
    </row>
    <row r="45" ht="21.75" customHeight="1" spans="1:7">
      <c r="D45" s="211"/>
      <c r="E45" s="211"/>
    </row>
    <row r="46" spans="1:7">
      <c r="C46" s="42"/>
      <c r="D46" s="212"/>
      <c r="E46" s="212"/>
      <c r="F46" s="212"/>
      <c r="G46" s="42"/>
    </row>
    <row r="48" spans="1:7">
      <c r="D48" s="43" t="s">
        <v>83</v>
      </c>
      <c r="E48" s="43"/>
      <c r="F48" s="211"/>
    </row>
  </sheetData>
  <mergeCells count="23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7:B17"/>
    <mergeCell ref="A18:B18"/>
    <mergeCell ref="A19:B19"/>
    <mergeCell ref="A20:B20"/>
    <mergeCell ref="A27:G27"/>
    <mergeCell ref="B32:D32"/>
    <mergeCell ref="A43:B43"/>
    <mergeCell ref="A2:F6"/>
    <mergeCell ref="C12:F25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showWhiteSpace="0" topLeftCell="A4" workbookViewId="0">
      <selection activeCell="A23" sqref="A17:E29"/>
    </sheetView>
  </sheetViews>
  <sheetFormatPr defaultColWidth="9" defaultRowHeight="15.75" outlineLevelCol="5"/>
  <cols>
    <col min="1" max="1" width="20.5" customWidth="1"/>
    <col min="2" max="2" width="24.625" customWidth="1"/>
    <col min="3" max="3" width="13.75" customWidth="1"/>
    <col min="4" max="4" width="14.125" customWidth="1"/>
    <col min="5" max="5" width="13.625" customWidth="1"/>
    <col min="6" max="6" width="13.875" customWidth="1"/>
  </cols>
  <sheetData>
    <row r="1" ht="5.25" customHeight="1"/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58" t="s">
        <v>410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411</v>
      </c>
      <c r="D16" s="59"/>
      <c r="E16" s="59"/>
    </row>
    <row r="17" ht="14.25" customHeight="1" spans="1:5">
      <c r="A17" s="13" t="s">
        <v>412</v>
      </c>
      <c r="B17" s="14"/>
      <c r="C17" s="61" t="s">
        <v>57</v>
      </c>
      <c r="D17" s="62"/>
      <c r="E17" s="62"/>
    </row>
    <row r="18" ht="14.25" customHeight="1" spans="1:5">
      <c r="A18" s="13" t="s">
        <v>413</v>
      </c>
      <c r="B18" s="14"/>
      <c r="C18" s="63"/>
      <c r="D18" s="13"/>
      <c r="E18" s="13"/>
    </row>
    <row r="19" ht="14.25" customHeight="1" spans="1:5">
      <c r="A19" s="13" t="s">
        <v>414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4.2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412</v>
      </c>
      <c r="B22" s="14"/>
      <c r="C22" s="63"/>
      <c r="D22" s="13"/>
      <c r="E22" s="13"/>
    </row>
    <row r="23" ht="14.25" customHeight="1" spans="1:5">
      <c r="A23" s="13" t="s">
        <v>413</v>
      </c>
      <c r="B23" s="14"/>
      <c r="C23" s="63"/>
      <c r="D23" s="13"/>
      <c r="E23" s="13"/>
    </row>
    <row r="24" ht="14.25" customHeight="1" spans="1:5">
      <c r="A24" s="13" t="s">
        <v>414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415</v>
      </c>
      <c r="B27" s="19" t="s">
        <v>416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417</v>
      </c>
      <c r="B29" s="22" t="s">
        <v>418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419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6">
      <c r="A33" s="29"/>
      <c r="B33" s="29"/>
      <c r="C33" s="29" t="s">
        <v>291</v>
      </c>
      <c r="D33" s="30" t="s">
        <v>420</v>
      </c>
      <c r="E33" s="30"/>
    </row>
    <row r="34" ht="15" customHeight="1" spans="1:6">
      <c r="A34" s="1" t="s">
        <v>329</v>
      </c>
      <c r="B34" s="213"/>
      <c r="C34" s="31"/>
      <c r="D34" s="65"/>
      <c r="E34" s="66"/>
    </row>
    <row r="35" ht="14.25" customHeight="1" spans="1:6">
      <c r="B35" s="213" t="s">
        <v>421</v>
      </c>
      <c r="C35" s="31">
        <v>9</v>
      </c>
      <c r="D35" s="65">
        <v>114000</v>
      </c>
      <c r="E35" s="66">
        <f>C35*D35</f>
        <v>1026000</v>
      </c>
    </row>
    <row r="36" ht="14.25" customHeight="1" spans="1:6">
      <c r="B36" s="213" t="s">
        <v>422</v>
      </c>
      <c r="C36" s="31"/>
      <c r="D36" s="65"/>
      <c r="E36" s="66"/>
    </row>
    <row r="37" ht="15" customHeight="1" spans="1:6">
      <c r="A37" s="1"/>
      <c r="B37" s="213" t="s">
        <v>423</v>
      </c>
      <c r="C37" s="31"/>
      <c r="D37" s="65"/>
      <c r="E37" s="66"/>
      <c r="F37" s="79"/>
    </row>
    <row r="38" ht="15" customHeight="1" spans="1:6">
      <c r="A38" s="35"/>
      <c r="B38" s="231" t="s">
        <v>424</v>
      </c>
      <c r="C38" s="31"/>
      <c r="D38" s="65"/>
      <c r="E38" s="66"/>
    </row>
    <row r="39" ht="15" customHeight="1" spans="1:6">
      <c r="A39" s="34"/>
      <c r="B39" s="213" t="s">
        <v>425</v>
      </c>
      <c r="C39" s="31"/>
      <c r="D39" s="65"/>
      <c r="E39" s="66"/>
    </row>
    <row r="40" ht="15" customHeight="1" spans="1:6">
      <c r="A40" s="34"/>
      <c r="B40" s="213" t="s">
        <v>426</v>
      </c>
      <c r="C40" s="31"/>
      <c r="D40" s="65"/>
      <c r="E40" s="66"/>
    </row>
    <row r="41" ht="15" customHeight="1" spans="1:6">
      <c r="A41" s="34"/>
      <c r="B41" s="213" t="s">
        <v>427</v>
      </c>
      <c r="C41" s="31"/>
      <c r="D41" s="65"/>
      <c r="E41" s="66"/>
    </row>
    <row r="42" ht="15" customHeight="1" spans="1:6">
      <c r="A42" s="35"/>
      <c r="B42" s="35"/>
      <c r="C42" s="31"/>
      <c r="D42" s="52"/>
      <c r="E42" s="31"/>
    </row>
    <row r="43" ht="15" customHeight="1" spans="1:6">
      <c r="A43" s="30"/>
      <c r="B43" s="30"/>
      <c r="C43" s="36"/>
      <c r="D43" s="35"/>
      <c r="E43" s="35"/>
    </row>
    <row r="44" ht="15" customHeight="1" spans="1:6">
      <c r="A44" s="37"/>
      <c r="B44" s="37"/>
      <c r="C44" s="37"/>
      <c r="D44" s="38"/>
      <c r="E44" s="38"/>
    </row>
    <row r="45" ht="22.5" customHeight="1" spans="1:6">
      <c r="A45" s="35"/>
      <c r="B45" s="36" t="s">
        <v>36</v>
      </c>
      <c r="C45" s="36" t="s">
        <v>428</v>
      </c>
      <c r="D45" s="36" t="s">
        <v>429</v>
      </c>
      <c r="E45" s="215" t="s">
        <v>430</v>
      </c>
    </row>
    <row r="49" spans="4:4">
      <c r="D49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A43:B43"/>
    <mergeCell ref="A44:B44"/>
    <mergeCell ref="A2:E9"/>
    <mergeCell ref="C17:E29"/>
  </mergeCells>
  <printOptions horizontalCentered="1" verticalCentered="1"/>
  <pageMargins left="0" right="0.393700787401575" top="0.73" bottom="0.984251968503937" header="0.511811023622047" footer="0.511811023622047"/>
  <pageSetup paperSize="9" orientation="portrait"/>
  <headerFooter alignWithMargins="0">
    <oddHeader>&amp;L&amp;G&amp;R&amp;"Times New Roman,加粗"&amp;10</oddHeader>
  </headerFooter>
  <drawing r:id="rId1"/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8"/>
  <sheetViews>
    <sheetView workbookViewId="0">
      <selection activeCell="A23" sqref="A12:F25"/>
    </sheetView>
  </sheetViews>
  <sheetFormatPr defaultColWidth="9" defaultRowHeight="11.6" outlineLevelCol="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410</v>
      </c>
      <c r="D8" s="7"/>
      <c r="E8" s="7"/>
      <c r="F8" s="7"/>
    </row>
    <row r="9" customFormat="1" ht="15" customHeight="1" spans="1:7">
      <c r="A9" s="13" t="s">
        <v>50</v>
      </c>
      <c r="B9" s="14"/>
      <c r="C9" s="9"/>
      <c r="D9" s="7"/>
      <c r="E9" s="7"/>
      <c r="F9" s="7"/>
    </row>
    <row r="10" customFormat="1" ht="15" customHeight="1" spans="1:7">
      <c r="A10" s="7" t="s">
        <v>52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7">
      <c r="A13" s="13" t="s">
        <v>412</v>
      </c>
      <c r="B13" s="14"/>
      <c r="C13" s="15"/>
      <c r="D13" s="16"/>
      <c r="E13" s="16"/>
      <c r="F13" s="16"/>
    </row>
    <row r="14" customFormat="1" ht="14.25" customHeight="1" spans="1:7">
      <c r="A14" s="13" t="s">
        <v>413</v>
      </c>
      <c r="B14" s="14"/>
      <c r="C14" s="15"/>
      <c r="D14" s="16"/>
      <c r="E14" s="16"/>
      <c r="F14" s="16"/>
    </row>
    <row r="15" customFormat="1" ht="14.25" customHeight="1" spans="1:7">
      <c r="A15" s="13" t="s">
        <v>414</v>
      </c>
      <c r="B15" s="14"/>
      <c r="C15" s="15"/>
      <c r="D15" s="16"/>
      <c r="E15" s="16"/>
      <c r="F15" s="16"/>
    </row>
    <row r="16" customFormat="1" ht="16.5" customHeight="1" spans="1:7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15"/>
      <c r="D17" s="16"/>
      <c r="E17" s="16"/>
      <c r="F17" s="16"/>
    </row>
    <row r="18" customFormat="1" ht="14.25" customHeight="1" spans="1:7">
      <c r="A18" s="13" t="s">
        <v>412</v>
      </c>
      <c r="B18" s="14"/>
      <c r="C18" s="15"/>
      <c r="D18" s="16"/>
      <c r="E18" s="16"/>
      <c r="F18" s="16"/>
    </row>
    <row r="19" customFormat="1" ht="14.25" customHeight="1" spans="1:7">
      <c r="A19" s="13" t="s">
        <v>413</v>
      </c>
      <c r="B19" s="14"/>
      <c r="C19" s="15"/>
      <c r="D19" s="16"/>
      <c r="E19" s="16"/>
      <c r="F19" s="16"/>
    </row>
    <row r="20" customFormat="1" ht="14.25" customHeight="1" spans="1:7">
      <c r="A20" s="13" t="s">
        <v>414</v>
      </c>
      <c r="B20" s="14"/>
      <c r="C20" s="15"/>
      <c r="D20" s="16"/>
      <c r="E20" s="16"/>
      <c r="F20" s="16"/>
    </row>
    <row r="21" customFormat="1" ht="12" customHeight="1" spans="1:7">
      <c r="A21" s="13"/>
      <c r="B21" s="14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 t="s">
        <v>415</v>
      </c>
      <c r="B23" s="19" t="s">
        <v>416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 t="s">
        <v>417</v>
      </c>
      <c r="B25" s="22" t="s">
        <v>418</v>
      </c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/>
      <c r="C28" s="31"/>
      <c r="D28" s="32"/>
      <c r="E28" s="32"/>
      <c r="F28" s="33"/>
      <c r="G28" s="31"/>
    </row>
    <row r="29" ht="12" customHeight="1" spans="1:7">
      <c r="A29" s="34"/>
      <c r="B29" s="213" t="s">
        <v>421</v>
      </c>
      <c r="C29" s="31" t="s">
        <v>431</v>
      </c>
      <c r="D29" s="32" t="s">
        <v>432</v>
      </c>
      <c r="E29" s="32" t="s">
        <v>433</v>
      </c>
      <c r="F29" s="33" t="s">
        <v>180</v>
      </c>
      <c r="G29" s="31"/>
    </row>
    <row r="30" spans="1:7">
      <c r="A30" s="35"/>
      <c r="B30" s="30" t="s">
        <v>434</v>
      </c>
      <c r="C30" s="36"/>
      <c r="D30" s="35"/>
      <c r="E30" s="35"/>
      <c r="F30" s="35"/>
      <c r="G30" s="35"/>
    </row>
    <row r="31" s="67" customFormat="1" ht="19.5" customHeight="1" spans="1:7">
      <c r="A31" s="41"/>
      <c r="B31" s="35"/>
      <c r="C31" s="35"/>
      <c r="D31" s="35"/>
      <c r="E31" s="35"/>
      <c r="F31" s="35"/>
      <c r="G31" s="35"/>
    </row>
    <row r="32" s="67" customFormat="1" ht="10.5" customHeight="1" spans="1:7">
      <c r="A32" s="35"/>
      <c r="B32" s="35"/>
      <c r="C32" s="35"/>
      <c r="D32" s="129"/>
      <c r="E32" s="35"/>
      <c r="F32" s="35"/>
      <c r="G32" s="35"/>
    </row>
    <row r="33" s="67" customFormat="1" ht="12" customHeight="1" spans="1:7">
      <c r="A33" s="35"/>
      <c r="B33" s="35"/>
      <c r="C33" s="34"/>
      <c r="D33" s="130"/>
      <c r="E33" s="130"/>
      <c r="F33" s="34"/>
      <c r="G33" s="35"/>
    </row>
    <row r="34" s="67" customFormat="1" ht="11.25" spans="1:7">
      <c r="B34" s="226"/>
      <c r="D34" s="130"/>
      <c r="E34" s="130"/>
      <c r="F34" s="34"/>
    </row>
    <row r="35" s="67" customFormat="1" ht="11.25" spans="1:7">
      <c r="A35" s="35"/>
      <c r="B35" s="226"/>
      <c r="C35" s="34"/>
      <c r="D35" s="130"/>
      <c r="E35" s="130"/>
      <c r="F35" s="34"/>
      <c r="G35" s="35"/>
    </row>
    <row r="36" s="67" customFormat="1" ht="12" customHeight="1" spans="1:7">
      <c r="A36" s="35"/>
      <c r="B36" s="226"/>
      <c r="C36" s="34"/>
      <c r="D36" s="130"/>
      <c r="E36" s="130"/>
      <c r="F36" s="34"/>
      <c r="G36" s="35"/>
    </row>
    <row r="37" s="67" customFormat="1" ht="12" customHeight="1" spans="1:7">
      <c r="A37" s="35"/>
      <c r="B37" s="226"/>
      <c r="C37" s="34"/>
      <c r="D37" s="130"/>
      <c r="E37" s="130"/>
      <c r="F37" s="34"/>
      <c r="G37" s="35"/>
    </row>
    <row r="38" s="67" customFormat="1" ht="12" customHeight="1" spans="1:7">
      <c r="A38" s="35"/>
      <c r="B38" s="226"/>
      <c r="C38" s="34"/>
      <c r="D38" s="130"/>
      <c r="E38" s="130"/>
      <c r="F38" s="34"/>
      <c r="G38" s="35"/>
    </row>
    <row r="39" s="67" customFormat="1" ht="12" customHeight="1" spans="1:7">
      <c r="A39" s="35"/>
      <c r="B39" s="226"/>
      <c r="C39" s="34"/>
      <c r="D39" s="130"/>
      <c r="E39" s="130"/>
      <c r="F39" s="34"/>
      <c r="G39" s="35"/>
    </row>
    <row r="40" s="67" customFormat="1" ht="12" customHeight="1" spans="1:7">
      <c r="A40" s="35"/>
      <c r="B40" s="226"/>
      <c r="C40" s="34"/>
      <c r="D40" s="130"/>
      <c r="E40" s="130"/>
      <c r="F40" s="34"/>
      <c r="G40" s="35"/>
    </row>
    <row r="41" s="67" customFormat="1" ht="12" customHeight="1" spans="1:7">
      <c r="A41" s="35"/>
      <c r="B41" s="226"/>
      <c r="C41" s="34"/>
      <c r="D41" s="130"/>
      <c r="E41" s="130"/>
      <c r="F41" s="34"/>
      <c r="G41" s="35"/>
    </row>
    <row r="42" s="67" customFormat="1" ht="12" customHeight="1" spans="1:7">
      <c r="A42" s="35"/>
      <c r="B42" s="35"/>
      <c r="C42" s="34"/>
      <c r="D42" s="130"/>
      <c r="E42" s="130"/>
      <c r="F42" s="34"/>
      <c r="G42" s="131"/>
    </row>
    <row r="43" ht="12.35" spans="1:7">
      <c r="A43" s="37"/>
      <c r="B43" s="37"/>
      <c r="C43" s="37"/>
      <c r="D43" s="38"/>
      <c r="E43" s="38"/>
      <c r="F43" s="38"/>
      <c r="G43" s="39"/>
    </row>
    <row r="44" s="128" customFormat="1" ht="12.35" spans="1:7">
      <c r="A44" s="34"/>
      <c r="B44" s="34" t="s">
        <v>36</v>
      </c>
      <c r="C44" s="34" t="s">
        <v>431</v>
      </c>
      <c r="D44" s="132" t="s">
        <v>432</v>
      </c>
      <c r="E44" s="132" t="s">
        <v>433</v>
      </c>
      <c r="F44" s="133" t="s">
        <v>180</v>
      </c>
      <c r="G44" s="34"/>
    </row>
    <row r="45" ht="21.75" customHeight="1" spans="1:7">
      <c r="D45" s="211"/>
      <c r="E45" s="211"/>
    </row>
    <row r="46" spans="1:7">
      <c r="C46" s="42"/>
      <c r="D46" s="212"/>
      <c r="E46" s="212"/>
      <c r="F46" s="212"/>
      <c r="G46" s="42"/>
    </row>
    <row r="48" spans="1:7">
      <c r="D48" s="43" t="s">
        <v>83</v>
      </c>
      <c r="E48" s="43"/>
      <c r="F48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7:B17"/>
    <mergeCell ref="A18:B18"/>
    <mergeCell ref="A19:B19"/>
    <mergeCell ref="A20:B20"/>
    <mergeCell ref="A27:G27"/>
    <mergeCell ref="A43:B43"/>
    <mergeCell ref="A2:F6"/>
    <mergeCell ref="C12:F25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8"/>
  <sheetViews>
    <sheetView workbookViewId="0">
      <selection activeCell="A23" sqref="A12:F25"/>
    </sheetView>
  </sheetViews>
  <sheetFormatPr defaultColWidth="9" defaultRowHeight="11.6" outlineLevelCol="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435</v>
      </c>
      <c r="D8" s="7"/>
      <c r="E8" s="7"/>
      <c r="F8" s="7"/>
    </row>
    <row r="9" customFormat="1" ht="15" customHeight="1" spans="1:7">
      <c r="A9" s="13" t="s">
        <v>436</v>
      </c>
      <c r="B9" s="14"/>
      <c r="C9" s="9"/>
      <c r="D9" s="7"/>
      <c r="E9" s="7"/>
      <c r="F9" s="7"/>
    </row>
    <row r="10" customFormat="1" ht="15" customHeight="1" spans="1:7">
      <c r="A10" s="7" t="s">
        <v>437</v>
      </c>
      <c r="B10" s="8"/>
      <c r="C10" s="9"/>
      <c r="D10" s="7"/>
      <c r="E10" s="7"/>
      <c r="F10" s="7"/>
    </row>
    <row r="11" customFormat="1" ht="15" customHeight="1" spans="1:7">
      <c r="A11" s="116" t="s">
        <v>438</v>
      </c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102</v>
      </c>
      <c r="D12" s="5"/>
      <c r="E12" s="5"/>
      <c r="F12" s="5"/>
    </row>
    <row r="13" customFormat="1" ht="14.25" customHeight="1" spans="1:7">
      <c r="A13" s="13" t="s">
        <v>439</v>
      </c>
      <c r="B13" s="14"/>
      <c r="C13" s="15"/>
      <c r="D13" s="16"/>
      <c r="E13" s="16"/>
      <c r="F13" s="16"/>
    </row>
    <row r="14" customFormat="1" ht="14.25" customHeight="1" spans="1:7">
      <c r="A14" s="13" t="s">
        <v>440</v>
      </c>
      <c r="B14" s="14"/>
      <c r="C14" s="15"/>
      <c r="D14" s="16"/>
      <c r="E14" s="16"/>
      <c r="F14" s="16"/>
    </row>
    <row r="15" customFormat="1" ht="14.25" customHeight="1" spans="1:7">
      <c r="A15" s="13" t="s">
        <v>441</v>
      </c>
      <c r="B15" s="14"/>
      <c r="C15" s="15"/>
      <c r="D15" s="16"/>
      <c r="E15" s="16"/>
      <c r="F15" s="16"/>
    </row>
    <row r="16" customFormat="1" ht="16.5" customHeight="1" spans="1:7">
      <c r="A16" s="13"/>
      <c r="B16" s="14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15"/>
      <c r="D17" s="16"/>
      <c r="E17" s="16"/>
      <c r="F17" s="16"/>
    </row>
    <row r="18" customFormat="1" ht="14.25" customHeight="1" spans="1:7">
      <c r="A18" s="13" t="s">
        <v>442</v>
      </c>
      <c r="B18" s="14"/>
      <c r="C18" s="15"/>
      <c r="D18" s="16"/>
      <c r="E18" s="16"/>
      <c r="F18" s="16"/>
    </row>
    <row r="19" customFormat="1" ht="14.25" customHeight="1" spans="1:7">
      <c r="A19" s="13" t="s">
        <v>443</v>
      </c>
      <c r="B19" s="14"/>
      <c r="C19" s="15"/>
      <c r="D19" s="16"/>
      <c r="E19" s="16"/>
      <c r="F19" s="16"/>
    </row>
    <row r="20" customFormat="1" ht="14.25" customHeight="1" spans="1:7">
      <c r="A20" s="13" t="s">
        <v>444</v>
      </c>
      <c r="B20" s="14"/>
      <c r="C20" s="15"/>
      <c r="D20" s="16"/>
      <c r="E20" s="16"/>
      <c r="F20" s="16"/>
    </row>
    <row r="21" customFormat="1" ht="12" customHeight="1" spans="1:7">
      <c r="A21" s="229"/>
      <c r="B21" s="230"/>
      <c r="C21" s="15"/>
      <c r="D21" s="16"/>
      <c r="E21" s="16"/>
      <c r="F21" s="16"/>
    </row>
    <row r="22" customFormat="1" ht="12" customHeight="1" spans="1:7">
      <c r="A22" s="10" t="s">
        <v>17</v>
      </c>
      <c r="B22" s="18" t="s">
        <v>18</v>
      </c>
      <c r="C22" s="15"/>
      <c r="D22" s="16"/>
      <c r="E22" s="16"/>
      <c r="F22" s="16"/>
    </row>
    <row r="23" customFormat="1" ht="12" customHeight="1" spans="1:7">
      <c r="A23" s="19" t="s">
        <v>445</v>
      </c>
      <c r="B23" s="19" t="s">
        <v>446</v>
      </c>
      <c r="C23" s="15"/>
      <c r="D23" s="16"/>
      <c r="E23" s="16"/>
      <c r="F23" s="16"/>
    </row>
    <row r="24" customFormat="1" ht="16.5" customHeight="1" spans="1:7">
      <c r="A24" s="10" t="s">
        <v>21</v>
      </c>
      <c r="B24" s="18" t="s">
        <v>22</v>
      </c>
      <c r="C24" s="15"/>
      <c r="D24" s="16"/>
      <c r="E24" s="16"/>
      <c r="F24" s="16"/>
    </row>
    <row r="25" customFormat="1" ht="15.75" spans="1:7">
      <c r="A25" s="21" t="s">
        <v>447</v>
      </c>
      <c r="B25" s="22" t="s">
        <v>448</v>
      </c>
      <c r="C25" s="15"/>
      <c r="D25" s="16"/>
      <c r="E25" s="16"/>
      <c r="F25" s="16"/>
    </row>
    <row r="26" customFormat="1" ht="20.25" spans="1:7">
      <c r="A26" s="23" t="s">
        <v>24</v>
      </c>
      <c r="B26" s="24" t="s">
        <v>25</v>
      </c>
      <c r="C26" s="25" t="s">
        <v>71</v>
      </c>
      <c r="D26" s="26" t="s">
        <v>72</v>
      </c>
      <c r="E26" s="27" t="s">
        <v>73</v>
      </c>
      <c r="F26" s="28" t="s">
        <v>103</v>
      </c>
    </row>
    <row r="27" spans="1:7">
      <c r="A27" s="29"/>
      <c r="B27" s="29"/>
      <c r="C27" s="29"/>
      <c r="D27" s="29"/>
      <c r="E27" s="29"/>
      <c r="F27" s="29"/>
      <c r="G27" s="29"/>
    </row>
    <row r="28" ht="12" customHeight="1" spans="1:7">
      <c r="A28" s="30"/>
      <c r="B28" s="30" t="s">
        <v>449</v>
      </c>
      <c r="C28" s="31"/>
      <c r="D28" s="32"/>
      <c r="E28" s="32"/>
      <c r="F28" s="33"/>
      <c r="G28" s="31"/>
    </row>
    <row r="29" ht="12" customHeight="1" spans="1:7">
      <c r="A29" s="34"/>
      <c r="B29" s="67" t="s">
        <v>450</v>
      </c>
      <c r="C29" s="31"/>
      <c r="D29" s="32"/>
      <c r="E29" s="32"/>
      <c r="F29" s="33"/>
      <c r="G29" s="31"/>
    </row>
    <row r="30" spans="1:7">
      <c r="A30" s="35"/>
      <c r="B30" s="30" t="s">
        <v>451</v>
      </c>
      <c r="C30" s="36"/>
      <c r="D30" s="35"/>
      <c r="E30" s="35"/>
      <c r="F30" s="35"/>
      <c r="G30" s="35"/>
    </row>
    <row r="31" s="67" customFormat="1" ht="19.5" customHeight="1" spans="1:7">
      <c r="A31" s="41"/>
      <c r="B31" s="35"/>
      <c r="C31" s="35"/>
      <c r="D31" s="35"/>
      <c r="E31" s="35"/>
      <c r="F31" s="35"/>
      <c r="G31" s="35"/>
    </row>
    <row r="32" s="67" customFormat="1" ht="10.5" customHeight="1" spans="1:7">
      <c r="A32" s="35"/>
      <c r="B32" s="35" t="s">
        <v>452</v>
      </c>
      <c r="C32" s="35"/>
      <c r="D32" s="129"/>
      <c r="E32" s="35"/>
      <c r="F32" s="35"/>
      <c r="G32" s="35"/>
    </row>
    <row r="33" s="67" customFormat="1" ht="12" customHeight="1" spans="1:7">
      <c r="A33" s="35"/>
      <c r="B33" s="35" t="s">
        <v>453</v>
      </c>
      <c r="C33" s="34"/>
      <c r="D33" s="130">
        <v>20040</v>
      </c>
      <c r="E33" s="130">
        <f t="shared" ref="E33:E42" si="0">D33+110</f>
        <v>20150</v>
      </c>
      <c r="F33" s="34" t="s">
        <v>226</v>
      </c>
      <c r="G33" s="35"/>
    </row>
    <row r="34" s="67" customFormat="1" ht="11.25" spans="1:7">
      <c r="B34" s="226" t="s">
        <v>454</v>
      </c>
      <c r="D34" s="130">
        <v>20040</v>
      </c>
      <c r="E34" s="130">
        <f t="shared" si="0"/>
        <v>20150</v>
      </c>
      <c r="F34" s="34" t="s">
        <v>226</v>
      </c>
    </row>
    <row r="35" s="67" customFormat="1" ht="11.25" spans="1:7">
      <c r="A35" s="35"/>
      <c r="B35" s="226" t="s">
        <v>455</v>
      </c>
      <c r="C35" s="34"/>
      <c r="D35" s="130">
        <v>20030</v>
      </c>
      <c r="E35" s="130">
        <f t="shared" si="0"/>
        <v>20140</v>
      </c>
      <c r="F35" s="34" t="s">
        <v>226</v>
      </c>
      <c r="G35" s="35"/>
    </row>
    <row r="36" s="67" customFormat="1" ht="12" customHeight="1" spans="1:7">
      <c r="A36" s="35"/>
      <c r="B36" s="226" t="s">
        <v>456</v>
      </c>
      <c r="C36" s="34"/>
      <c r="D36" s="130">
        <v>20330</v>
      </c>
      <c r="E36" s="130">
        <f t="shared" si="0"/>
        <v>20440</v>
      </c>
      <c r="F36" s="34" t="s">
        <v>226</v>
      </c>
      <c r="G36" s="35"/>
    </row>
    <row r="37" s="67" customFormat="1" ht="12" customHeight="1" spans="1:7">
      <c r="A37" s="35"/>
      <c r="B37" s="226" t="s">
        <v>457</v>
      </c>
      <c r="C37" s="34"/>
      <c r="D37" s="130">
        <v>19590</v>
      </c>
      <c r="E37" s="130">
        <f t="shared" si="0"/>
        <v>19700</v>
      </c>
      <c r="F37" s="34" t="s">
        <v>226</v>
      </c>
      <c r="G37" s="35"/>
    </row>
    <row r="38" s="67" customFormat="1" ht="12" customHeight="1" spans="1:7">
      <c r="A38" s="35"/>
      <c r="B38" s="226" t="s">
        <v>458</v>
      </c>
      <c r="C38" s="34"/>
      <c r="D38" s="130">
        <v>20160</v>
      </c>
      <c r="E38" s="130">
        <f t="shared" si="0"/>
        <v>20270</v>
      </c>
      <c r="F38" s="34" t="s">
        <v>226</v>
      </c>
      <c r="G38" s="35"/>
    </row>
    <row r="39" s="67" customFormat="1" ht="12" customHeight="1" spans="1:7">
      <c r="A39" s="35"/>
      <c r="B39" s="226" t="s">
        <v>459</v>
      </c>
      <c r="C39" s="34"/>
      <c r="D39" s="130">
        <v>19850</v>
      </c>
      <c r="E39" s="130">
        <f t="shared" si="0"/>
        <v>19960</v>
      </c>
      <c r="F39" s="34" t="s">
        <v>226</v>
      </c>
      <c r="G39" s="35"/>
    </row>
    <row r="40" s="67" customFormat="1" ht="12" customHeight="1" spans="1:7">
      <c r="A40" s="35"/>
      <c r="B40" s="226" t="s">
        <v>460</v>
      </c>
      <c r="C40" s="34"/>
      <c r="D40" s="130">
        <v>20150</v>
      </c>
      <c r="E40" s="130">
        <f t="shared" si="0"/>
        <v>20260</v>
      </c>
      <c r="F40" s="34" t="s">
        <v>226</v>
      </c>
      <c r="G40" s="35"/>
    </row>
    <row r="41" s="67" customFormat="1" ht="12" customHeight="1" spans="1:7">
      <c r="A41" s="35"/>
      <c r="B41" s="226" t="s">
        <v>461</v>
      </c>
      <c r="C41" s="34"/>
      <c r="D41" s="130">
        <v>20670</v>
      </c>
      <c r="E41" s="130">
        <f t="shared" si="0"/>
        <v>20780</v>
      </c>
      <c r="F41" s="34" t="s">
        <v>226</v>
      </c>
      <c r="G41" s="35"/>
    </row>
    <row r="42" s="67" customFormat="1" ht="12" customHeight="1" spans="1:7">
      <c r="A42" s="35"/>
      <c r="B42" s="35" t="s">
        <v>462</v>
      </c>
      <c r="C42" s="34"/>
      <c r="D42" s="130">
        <v>19130</v>
      </c>
      <c r="E42" s="130">
        <f t="shared" si="0"/>
        <v>19240</v>
      </c>
      <c r="F42" s="34" t="s">
        <v>226</v>
      </c>
      <c r="G42" s="131"/>
    </row>
    <row r="43" ht="12.35" spans="1:7">
      <c r="A43" s="37"/>
      <c r="B43" s="37"/>
      <c r="C43" s="37"/>
      <c r="D43" s="38"/>
      <c r="E43" s="38"/>
      <c r="F43" s="38"/>
      <c r="G43" s="39"/>
    </row>
    <row r="44" s="128" customFormat="1" ht="12.35" spans="1:7">
      <c r="A44" s="34"/>
      <c r="B44" s="34" t="s">
        <v>36</v>
      </c>
      <c r="C44" s="34">
        <v>10</v>
      </c>
      <c r="D44" s="132" t="s">
        <v>463</v>
      </c>
      <c r="E44" s="132" t="s">
        <v>464</v>
      </c>
      <c r="F44" s="133" t="s">
        <v>465</v>
      </c>
      <c r="G44" s="34"/>
    </row>
    <row r="45" ht="21.75" customHeight="1" spans="1:7">
      <c r="D45" s="211"/>
      <c r="E45" s="211"/>
    </row>
    <row r="46" spans="1:7">
      <c r="C46" s="42"/>
      <c r="D46" s="212"/>
      <c r="E46" s="212"/>
      <c r="F46" s="212"/>
      <c r="G46" s="42"/>
    </row>
    <row r="48" spans="1:7">
      <c r="D48" s="43" t="s">
        <v>83</v>
      </c>
      <c r="E48" s="43"/>
      <c r="F48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4:B14"/>
    <mergeCell ref="A15:B15"/>
    <mergeCell ref="A17:B17"/>
    <mergeCell ref="A18:B18"/>
    <mergeCell ref="A19:B19"/>
    <mergeCell ref="A20:B20"/>
    <mergeCell ref="A21:B21"/>
    <mergeCell ref="A27:G27"/>
    <mergeCell ref="A43:B43"/>
    <mergeCell ref="A2:F6"/>
    <mergeCell ref="C12:F25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8"/>
  <sheetViews>
    <sheetView tabSelected="1" topLeftCell="A3" workbookViewId="0">
      <selection activeCell="C17" sqref="C17:E29"/>
    </sheetView>
  </sheetViews>
  <sheetFormatPr defaultColWidth="9" defaultRowHeight="15.75" outlineLevelCol="4"/>
  <cols>
    <col min="1" max="1" width="20.5" customWidth="1"/>
    <col min="2" max="2" width="23.375" customWidth="1"/>
    <col min="3" max="3" width="13.75" customWidth="1"/>
    <col min="4" max="4" width="14.125" customWidth="1"/>
    <col min="5" max="5" width="13.625" customWidth="1"/>
  </cols>
  <sheetData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 t="s">
        <v>466</v>
      </c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4.25" customHeight="1" spans="1:5">
      <c r="A12" s="13" t="s">
        <v>467</v>
      </c>
      <c r="B12" s="14"/>
      <c r="C12" s="58" t="s">
        <v>468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 t="s">
        <v>469</v>
      </c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470</v>
      </c>
      <c r="D16" s="59"/>
      <c r="E16" s="59"/>
    </row>
    <row r="17" ht="14.25" customHeight="1" spans="1:5">
      <c r="A17" s="13" t="s">
        <v>471</v>
      </c>
      <c r="B17" s="14"/>
      <c r="C17" s="61" t="s">
        <v>57</v>
      </c>
      <c r="D17" s="62"/>
      <c r="E17" s="62"/>
    </row>
    <row r="18" ht="14.25" customHeight="1" spans="1:5">
      <c r="A18" s="13" t="s">
        <v>472</v>
      </c>
      <c r="B18" s="14"/>
      <c r="C18" s="63"/>
      <c r="D18" s="13"/>
      <c r="E18" s="13"/>
    </row>
    <row r="19" ht="14.25" customHeight="1" spans="1:5">
      <c r="A19" s="13" t="s">
        <v>473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471</v>
      </c>
      <c r="B22" s="14"/>
      <c r="C22" s="63"/>
      <c r="D22" s="13"/>
      <c r="E22" s="13"/>
    </row>
    <row r="23" ht="14.25" customHeight="1" spans="1:5">
      <c r="A23" s="13" t="s">
        <v>474</v>
      </c>
      <c r="B23" s="14"/>
      <c r="C23" s="63"/>
      <c r="D23" s="13"/>
      <c r="E23" s="13"/>
    </row>
    <row r="24" ht="14.25" customHeight="1" spans="1:5">
      <c r="A24" s="13" t="s">
        <v>473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475</v>
      </c>
      <c r="B27" s="19" t="s">
        <v>476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477</v>
      </c>
      <c r="B29" s="22" t="s">
        <v>478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30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5">
      <c r="A33" s="29"/>
      <c r="B33" s="29"/>
      <c r="C33" s="29" t="s">
        <v>291</v>
      </c>
      <c r="D33" s="30" t="s">
        <v>310</v>
      </c>
      <c r="E33" s="30"/>
    </row>
    <row r="34" ht="15" customHeight="1" spans="1:5">
      <c r="B34" s="213" t="s">
        <v>479</v>
      </c>
      <c r="C34" s="31">
        <v>100</v>
      </c>
      <c r="D34" s="65">
        <v>705</v>
      </c>
      <c r="E34" s="66">
        <f>C34*D34</f>
        <v>70500</v>
      </c>
    </row>
    <row r="35" ht="15" customHeight="1" spans="1:5">
      <c r="A35" s="35" t="s">
        <v>32</v>
      </c>
      <c r="B35" s="67" t="s">
        <v>480</v>
      </c>
      <c r="C35" s="31"/>
      <c r="D35" s="65"/>
      <c r="E35" s="66"/>
    </row>
    <row r="36" ht="15" customHeight="1" spans="1:5">
      <c r="A36" s="34"/>
      <c r="B36" s="136" t="s">
        <v>481</v>
      </c>
      <c r="C36" s="31"/>
      <c r="D36" s="65"/>
      <c r="E36" s="66"/>
    </row>
    <row r="37" ht="15" customHeight="1" spans="1:5">
      <c r="A37" s="34"/>
      <c r="B37" s="35" t="s">
        <v>296</v>
      </c>
      <c r="C37" s="31"/>
      <c r="D37" s="65"/>
      <c r="E37" s="66"/>
    </row>
    <row r="38" ht="15" customHeight="1" spans="1:5">
      <c r="A38" s="34"/>
      <c r="B38" s="136"/>
      <c r="C38" s="31"/>
      <c r="D38" s="65"/>
      <c r="E38" s="66"/>
    </row>
    <row r="39" ht="15" customHeight="1" spans="1:5">
      <c r="A39" s="34"/>
      <c r="B39" s="35"/>
      <c r="C39" s="35"/>
      <c r="D39" s="65"/>
      <c r="E39" s="66"/>
    </row>
    <row r="40" ht="15" customHeight="1" spans="1:5">
      <c r="A40" s="35"/>
      <c r="B40" s="30"/>
      <c r="C40" s="30"/>
      <c r="D40" s="30"/>
      <c r="E40" s="31"/>
    </row>
    <row r="41" ht="15" customHeight="1" spans="1:5">
      <c r="A41" s="35"/>
      <c r="B41" s="35"/>
      <c r="C41" s="31"/>
      <c r="D41" s="52"/>
      <c r="E41" s="31"/>
    </row>
    <row r="42" ht="15" customHeight="1" spans="1:5">
      <c r="A42" s="30"/>
      <c r="B42" s="30"/>
      <c r="C42" s="36"/>
      <c r="D42" s="35"/>
      <c r="E42" s="35"/>
    </row>
    <row r="43" ht="16.5" spans="1:5">
      <c r="A43" s="37"/>
      <c r="B43" s="37"/>
      <c r="C43" s="37"/>
      <c r="D43" s="38"/>
      <c r="E43" s="38"/>
    </row>
    <row r="44" ht="22.5" customHeight="1" spans="1:5">
      <c r="A44" s="35"/>
      <c r="B44" s="36" t="s">
        <v>36</v>
      </c>
      <c r="C44" s="36" t="s">
        <v>482</v>
      </c>
      <c r="D44" s="36" t="s">
        <v>483</v>
      </c>
      <c r="E44" s="215">
        <f>E34</f>
        <v>70500</v>
      </c>
    </row>
    <row r="45" spans="1:5">
      <c r="C45" t="s">
        <v>484</v>
      </c>
    </row>
    <row r="48" spans="1:5">
      <c r="D48" s="55" t="s">
        <v>47</v>
      </c>
    </row>
  </sheetData>
  <mergeCells count="25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B40:D40"/>
    <mergeCell ref="A42:B42"/>
    <mergeCell ref="A43:B43"/>
    <mergeCell ref="A2:E9"/>
    <mergeCell ref="C17:E29"/>
  </mergeCells>
  <printOptions horizontalCentered="1" verticalCentered="1"/>
  <pageMargins left="0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9"/>
  <sheetViews>
    <sheetView topLeftCell="A3" workbookViewId="0">
      <selection activeCell="K11" sqref="K11"/>
    </sheetView>
  </sheetViews>
  <sheetFormatPr defaultColWidth="9" defaultRowHeight="11.6" outlineLevelCol="6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1.875" style="1" customWidth="1"/>
    <col min="8" max="8" width="16" style="1" customWidth="1"/>
    <col min="9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10"/>
      <c r="C7" s="6" t="s">
        <v>2</v>
      </c>
      <c r="D7" s="5"/>
      <c r="E7" s="5"/>
      <c r="F7" s="5"/>
    </row>
    <row r="8" customFormat="1" ht="13.5" customHeight="1" spans="1:7">
      <c r="A8" s="13" t="s">
        <v>467</v>
      </c>
      <c r="B8" s="14"/>
      <c r="C8" s="9" t="s">
        <v>468</v>
      </c>
      <c r="D8" s="7"/>
      <c r="E8" s="7"/>
      <c r="F8" s="7"/>
    </row>
    <row r="9" customFormat="1" ht="15" customHeight="1" spans="1:7">
      <c r="A9" s="13" t="s">
        <v>50</v>
      </c>
      <c r="B9" s="14"/>
      <c r="C9" s="9"/>
      <c r="D9" s="7"/>
      <c r="E9" s="7"/>
      <c r="F9" s="7"/>
    </row>
    <row r="10" customFormat="1" ht="15" customHeight="1" spans="1:7">
      <c r="A10" s="7" t="s">
        <v>52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485</v>
      </c>
      <c r="D12" s="5"/>
      <c r="E12" s="5"/>
      <c r="F12" s="5"/>
    </row>
    <row r="13" customFormat="1" ht="14.25" customHeight="1" spans="1:7">
      <c r="A13" s="13" t="s">
        <v>471</v>
      </c>
      <c r="B13" s="14"/>
      <c r="C13" s="15"/>
      <c r="D13" s="16"/>
      <c r="E13" s="16"/>
      <c r="F13" s="16"/>
    </row>
    <row r="14" customFormat="1" ht="14.25" customHeight="1" spans="1:7">
      <c r="A14" s="13" t="s">
        <v>474</v>
      </c>
      <c r="B14" s="14"/>
      <c r="C14" s="15"/>
      <c r="D14" s="16"/>
      <c r="E14" s="16"/>
      <c r="F14" s="16"/>
    </row>
    <row r="15" customFormat="1" ht="16.5" customHeight="1" spans="1:7">
      <c r="A15" s="13" t="s">
        <v>473</v>
      </c>
      <c r="B15" s="14"/>
      <c r="C15" s="15"/>
      <c r="D15" s="16"/>
      <c r="E15" s="16"/>
      <c r="F15" s="16"/>
    </row>
    <row r="16" customFormat="1" ht="14.25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13" t="s">
        <v>471</v>
      </c>
      <c r="B17" s="14"/>
      <c r="C17" s="15"/>
      <c r="D17" s="16"/>
      <c r="E17" s="16"/>
      <c r="F17" s="16"/>
    </row>
    <row r="18" customFormat="1" ht="14.25" customHeight="1" spans="1:7">
      <c r="A18" s="13" t="s">
        <v>474</v>
      </c>
      <c r="B18" s="14"/>
      <c r="C18" s="15"/>
      <c r="D18" s="16"/>
      <c r="E18" s="16"/>
      <c r="F18" s="16"/>
    </row>
    <row r="19" customFormat="1" ht="14.25" customHeight="1" spans="1:7">
      <c r="A19" s="13" t="s">
        <v>473</v>
      </c>
      <c r="B19" s="14"/>
      <c r="C19" s="15"/>
      <c r="D19" s="16"/>
      <c r="E19" s="16"/>
      <c r="F19" s="16"/>
    </row>
    <row r="20" customFormat="1" ht="12" customHeight="1" spans="1:7">
      <c r="A20" s="13"/>
      <c r="B20" s="14"/>
      <c r="C20" s="15"/>
      <c r="D20" s="16"/>
      <c r="E20" s="16"/>
      <c r="F20" s="16"/>
    </row>
    <row r="21" customFormat="1" ht="12" customHeight="1" spans="1:7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7">
      <c r="A22" s="19" t="s">
        <v>475</v>
      </c>
      <c r="B22" s="19" t="s">
        <v>476</v>
      </c>
      <c r="C22" s="15"/>
      <c r="D22" s="16"/>
      <c r="E22" s="16"/>
      <c r="F22" s="16"/>
    </row>
    <row r="23" customFormat="1" ht="16.5" customHeight="1" spans="1:7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7">
      <c r="A24" s="21" t="s">
        <v>477</v>
      </c>
      <c r="B24" s="22" t="s">
        <v>478</v>
      </c>
      <c r="C24" s="15"/>
      <c r="D24" s="16"/>
      <c r="E24" s="16"/>
      <c r="F24" s="16"/>
    </row>
    <row r="25" customFormat="1" ht="20.25" spans="1:7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7">
      <c r="A26" s="29"/>
      <c r="B26" s="29"/>
      <c r="C26" s="29"/>
      <c r="D26" s="29"/>
      <c r="E26" s="29"/>
      <c r="F26" s="29"/>
      <c r="G26" s="29"/>
    </row>
    <row r="27" ht="12" customHeight="1" spans="1:7">
      <c r="A27" s="30"/>
      <c r="B27" s="216" t="s">
        <v>479</v>
      </c>
      <c r="C27" s="31"/>
      <c r="D27" s="32"/>
      <c r="E27" s="32"/>
      <c r="F27" s="33"/>
      <c r="G27" s="31"/>
    </row>
    <row r="28" ht="12" customHeight="1" spans="1:7">
      <c r="A28" s="34"/>
      <c r="B28" s="67" t="s">
        <v>480</v>
      </c>
      <c r="C28" s="31"/>
      <c r="D28" s="32"/>
      <c r="E28" s="32"/>
      <c r="F28" s="33"/>
      <c r="G28" s="31"/>
    </row>
    <row r="29" spans="1:7">
      <c r="A29" s="35"/>
      <c r="B29" s="30" t="s">
        <v>451</v>
      </c>
      <c r="C29" s="36"/>
      <c r="D29" s="35"/>
      <c r="E29" s="35"/>
      <c r="F29" s="35"/>
      <c r="G29" s="35"/>
    </row>
    <row r="30" s="67" customFormat="1" ht="9.4" customHeight="1" spans="1:7">
      <c r="A30" s="41"/>
      <c r="B30" s="35"/>
      <c r="C30" s="35"/>
      <c r="D30" s="35"/>
      <c r="E30" s="35"/>
      <c r="F30" s="35"/>
      <c r="G30" s="35"/>
    </row>
    <row r="31" s="67" customFormat="1" ht="10.5" customHeight="1" spans="1:7">
      <c r="A31" s="35"/>
      <c r="B31" s="217" t="s">
        <v>452</v>
      </c>
      <c r="C31" s="217"/>
      <c r="D31" s="218"/>
      <c r="E31" s="217"/>
      <c r="F31" s="217"/>
      <c r="G31" s="35"/>
    </row>
    <row r="32" s="67" customFormat="1" ht="11.25" spans="1:7">
      <c r="B32" s="227" t="s">
        <v>486</v>
      </c>
      <c r="C32" s="220"/>
      <c r="D32" s="221">
        <v>20000</v>
      </c>
      <c r="E32" s="221">
        <f t="shared" ref="E32:E36" si="0">D32+110</f>
        <v>20110</v>
      </c>
      <c r="F32" s="222" t="s">
        <v>487</v>
      </c>
    </row>
    <row r="33" s="67" customFormat="1" ht="12" customHeight="1" spans="1:7">
      <c r="A33" s="35"/>
      <c r="B33" s="217" t="s">
        <v>488</v>
      </c>
      <c r="C33" s="222"/>
      <c r="D33" s="221">
        <v>20000</v>
      </c>
      <c r="E33" s="221">
        <f t="shared" si="0"/>
        <v>20110</v>
      </c>
      <c r="F33" s="222" t="s">
        <v>487</v>
      </c>
      <c r="G33" s="35"/>
    </row>
    <row r="34" s="67" customFormat="1" ht="12" customHeight="1" spans="1:7">
      <c r="A34" s="35"/>
      <c r="B34" s="228" t="s">
        <v>489</v>
      </c>
      <c r="C34" s="222"/>
      <c r="D34" s="221">
        <v>20000</v>
      </c>
      <c r="E34" s="221">
        <f t="shared" si="0"/>
        <v>20110</v>
      </c>
      <c r="F34" s="222" t="s">
        <v>487</v>
      </c>
      <c r="G34" s="35"/>
    </row>
    <row r="35" s="67" customFormat="1" ht="11.25" spans="1:7">
      <c r="A35" s="35"/>
      <c r="B35" s="228" t="s">
        <v>490</v>
      </c>
      <c r="C35" s="222"/>
      <c r="D35" s="221">
        <v>19750</v>
      </c>
      <c r="E35" s="221">
        <f t="shared" si="0"/>
        <v>19860</v>
      </c>
      <c r="F35" s="222" t="s">
        <v>487</v>
      </c>
      <c r="G35" s="35"/>
    </row>
    <row r="36" s="67" customFormat="1" ht="12" customHeight="1" spans="1:7">
      <c r="A36" s="35"/>
      <c r="B36" s="228" t="s">
        <v>491</v>
      </c>
      <c r="C36" s="222"/>
      <c r="D36" s="221">
        <v>20250</v>
      </c>
      <c r="E36" s="221">
        <f t="shared" si="0"/>
        <v>20360</v>
      </c>
      <c r="F36" s="222" t="s">
        <v>487</v>
      </c>
      <c r="G36" s="35"/>
    </row>
    <row r="37" s="67" customFormat="1" ht="12" customHeight="1" spans="1:7">
      <c r="A37" s="111"/>
      <c r="B37" s="224"/>
      <c r="C37" s="106"/>
      <c r="D37" s="225"/>
      <c r="E37" s="130"/>
      <c r="F37" s="34"/>
      <c r="G37" s="35"/>
    </row>
    <row r="38" s="67" customFormat="1" ht="12" customHeight="1" spans="1:7">
      <c r="A38" s="111"/>
      <c r="B38" s="224"/>
      <c r="C38" s="106"/>
      <c r="D38" s="225"/>
      <c r="E38" s="130"/>
      <c r="F38" s="34"/>
      <c r="G38" s="35"/>
    </row>
    <row r="39" s="67" customFormat="1" ht="12" customHeight="1" spans="1:7">
      <c r="A39" s="111"/>
      <c r="B39" s="224"/>
      <c r="C39" s="106"/>
      <c r="D39" s="225"/>
      <c r="E39" s="130"/>
      <c r="F39" s="34"/>
      <c r="G39" s="35"/>
    </row>
    <row r="40" s="67" customFormat="1" ht="12" customHeight="1" spans="1:7">
      <c r="A40" s="35"/>
      <c r="B40" s="226"/>
      <c r="C40" s="34"/>
      <c r="D40" s="130"/>
      <c r="E40" s="130"/>
      <c r="F40" s="34"/>
      <c r="G40" s="35"/>
    </row>
    <row r="41" s="67" customFormat="1" ht="12" customHeight="1" spans="1:7">
      <c r="A41" s="35"/>
      <c r="B41" s="226"/>
      <c r="C41" s="34"/>
      <c r="D41" s="130"/>
      <c r="E41" s="130"/>
      <c r="F41" s="34"/>
      <c r="G41" s="35"/>
    </row>
    <row r="42" s="67" customFormat="1" ht="12" customHeight="1" spans="1:7">
      <c r="A42" s="35"/>
      <c r="B42" s="226"/>
      <c r="C42" s="34"/>
      <c r="D42" s="130"/>
      <c r="E42" s="130"/>
      <c r="F42" s="34"/>
      <c r="G42" s="35"/>
    </row>
    <row r="43" ht="12.35" spans="1:7">
      <c r="A43" s="37"/>
      <c r="B43" s="37"/>
      <c r="C43" s="37"/>
      <c r="D43" s="38"/>
      <c r="E43" s="38"/>
      <c r="F43" s="38"/>
      <c r="G43" s="39"/>
    </row>
    <row r="44" s="128" customFormat="1" ht="12.35" spans="1:7">
      <c r="A44" s="34"/>
      <c r="B44" s="34" t="s">
        <v>36</v>
      </c>
      <c r="C44" s="34" t="s">
        <v>492</v>
      </c>
      <c r="D44" s="132" t="s">
        <v>493</v>
      </c>
      <c r="E44" s="132" t="s">
        <v>494</v>
      </c>
      <c r="F44" s="133" t="s">
        <v>495</v>
      </c>
      <c r="G44" s="34"/>
    </row>
    <row r="45" spans="1:7">
      <c r="C45" s="42"/>
      <c r="D45" s="212"/>
      <c r="E45" s="212"/>
      <c r="F45" s="212"/>
      <c r="G45" s="42"/>
    </row>
    <row r="47" ht="13.15" customHeight="1"/>
    <row r="49" spans="4:6">
      <c r="D49" s="43" t="s">
        <v>83</v>
      </c>
      <c r="E49" s="43"/>
      <c r="F49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6:G26"/>
    <mergeCell ref="A43:B43"/>
    <mergeCell ref="A2:F6"/>
    <mergeCell ref="C12:F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8"/>
  <sheetViews>
    <sheetView topLeftCell="A5" workbookViewId="0">
      <selection activeCell="C17" sqref="C17:E29"/>
    </sheetView>
  </sheetViews>
  <sheetFormatPr defaultColWidth="9" defaultRowHeight="15.75" outlineLevelCol="4"/>
  <cols>
    <col min="1" max="1" width="20.5" customWidth="1"/>
    <col min="2" max="2" width="23.375" customWidth="1"/>
    <col min="3" max="3" width="13.75" customWidth="1"/>
    <col min="4" max="4" width="14.125" customWidth="1"/>
    <col min="5" max="5" width="13.625" customWidth="1"/>
  </cols>
  <sheetData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 t="s">
        <v>466</v>
      </c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4.25" customHeight="1" spans="1:5">
      <c r="A12" s="13" t="s">
        <v>467</v>
      </c>
      <c r="B12" s="14"/>
      <c r="C12" s="58" t="s">
        <v>496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 t="s">
        <v>469</v>
      </c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470</v>
      </c>
      <c r="D16" s="59"/>
      <c r="E16" s="59"/>
    </row>
    <row r="17" ht="14.25" customHeight="1" spans="1:5">
      <c r="A17" s="13" t="s">
        <v>471</v>
      </c>
      <c r="B17" s="14"/>
      <c r="C17" s="61" t="s">
        <v>57</v>
      </c>
      <c r="D17" s="62"/>
      <c r="E17" s="62"/>
    </row>
    <row r="18" ht="14.25" customHeight="1" spans="1:5">
      <c r="A18" s="13" t="s">
        <v>472</v>
      </c>
      <c r="B18" s="14"/>
      <c r="C18" s="63"/>
      <c r="D18" s="13"/>
      <c r="E18" s="13"/>
    </row>
    <row r="19" ht="14.25" customHeight="1" spans="1:5">
      <c r="A19" s="13" t="s">
        <v>473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471</v>
      </c>
      <c r="B22" s="14"/>
      <c r="C22" s="63"/>
      <c r="D22" s="13"/>
      <c r="E22" s="13"/>
    </row>
    <row r="23" ht="14.25" customHeight="1" spans="1:5">
      <c r="A23" s="13" t="s">
        <v>472</v>
      </c>
      <c r="B23" s="14"/>
      <c r="C23" s="63"/>
      <c r="D23" s="13"/>
      <c r="E23" s="13"/>
    </row>
    <row r="24" ht="14.25" customHeight="1" spans="1:5">
      <c r="A24" s="13" t="s">
        <v>473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9.5" customHeight="1" spans="1:5">
      <c r="A27" s="19" t="s">
        <v>497</v>
      </c>
      <c r="B27" s="19" t="s">
        <v>476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498</v>
      </c>
      <c r="B29" s="22" t="s">
        <v>478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30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5">
      <c r="A33" s="29"/>
      <c r="B33" s="29"/>
      <c r="C33" s="29" t="s">
        <v>291</v>
      </c>
      <c r="D33" s="30" t="s">
        <v>310</v>
      </c>
      <c r="E33" s="30"/>
    </row>
    <row r="34" ht="15" customHeight="1" spans="1:5">
      <c r="B34" s="213" t="s">
        <v>479</v>
      </c>
      <c r="C34" s="31">
        <v>100</v>
      </c>
      <c r="D34" s="65">
        <v>705</v>
      </c>
      <c r="E34" s="66">
        <f>C34*D34</f>
        <v>70500</v>
      </c>
    </row>
    <row r="35" ht="15" customHeight="1" spans="1:5">
      <c r="A35" s="35" t="s">
        <v>32</v>
      </c>
      <c r="B35" s="67" t="s">
        <v>480</v>
      </c>
      <c r="C35" s="31"/>
      <c r="D35" s="65"/>
      <c r="E35" s="66"/>
    </row>
    <row r="36" ht="15" customHeight="1" spans="1:5">
      <c r="A36" s="34"/>
      <c r="B36" s="136" t="s">
        <v>481</v>
      </c>
      <c r="C36" s="31"/>
      <c r="D36" s="65"/>
      <c r="E36" s="66"/>
    </row>
    <row r="37" ht="15" customHeight="1" spans="1:5">
      <c r="A37" s="34"/>
      <c r="B37" s="35" t="s">
        <v>296</v>
      </c>
      <c r="C37" s="31"/>
      <c r="D37" s="65"/>
      <c r="E37" s="66"/>
    </row>
    <row r="38" ht="15" customHeight="1" spans="1:5">
      <c r="A38" s="34"/>
      <c r="B38" s="136"/>
      <c r="C38" s="31"/>
      <c r="D38" s="65"/>
      <c r="E38" s="66"/>
    </row>
    <row r="39" ht="15" customHeight="1" spans="1:5">
      <c r="A39" s="34"/>
      <c r="B39" s="35"/>
      <c r="C39" s="35"/>
      <c r="D39" s="65"/>
      <c r="E39" s="66"/>
    </row>
    <row r="40" ht="15" customHeight="1" spans="1:5">
      <c r="A40" s="35"/>
      <c r="B40" s="30"/>
      <c r="C40" s="30"/>
      <c r="D40" s="30"/>
      <c r="E40" s="31"/>
    </row>
    <row r="41" ht="15" customHeight="1" spans="1:5">
      <c r="A41" s="35"/>
      <c r="B41" s="35"/>
      <c r="C41" s="31"/>
      <c r="D41" s="52"/>
      <c r="E41" s="31"/>
    </row>
    <row r="42" ht="15" customHeight="1" spans="1:5">
      <c r="A42" s="30"/>
      <c r="B42" s="30"/>
      <c r="C42" s="36"/>
      <c r="D42" s="35"/>
      <c r="E42" s="35"/>
    </row>
    <row r="43" ht="16.5" spans="1:5">
      <c r="A43" s="37"/>
      <c r="B43" s="37"/>
      <c r="C43" s="37"/>
      <c r="D43" s="38"/>
      <c r="E43" s="38"/>
    </row>
    <row r="44" ht="22.5" customHeight="1" spans="1:5">
      <c r="A44" s="35"/>
      <c r="B44" s="36" t="s">
        <v>36</v>
      </c>
      <c r="C44" s="36" t="s">
        <v>482</v>
      </c>
      <c r="D44" s="36" t="s">
        <v>483</v>
      </c>
      <c r="E44" s="215">
        <f>E34</f>
        <v>70500</v>
      </c>
    </row>
    <row r="45" spans="1:5">
      <c r="C45" t="s">
        <v>484</v>
      </c>
    </row>
    <row r="48" spans="1:5">
      <c r="D48" s="55" t="s">
        <v>47</v>
      </c>
    </row>
  </sheetData>
  <mergeCells count="25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B40:D40"/>
    <mergeCell ref="A42:B42"/>
    <mergeCell ref="A43:B43"/>
    <mergeCell ref="A2:E9"/>
    <mergeCell ref="C17:E29"/>
  </mergeCells>
  <printOptions horizontalCentered="1" verticalCentered="1"/>
  <pageMargins left="0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9"/>
  <sheetViews>
    <sheetView topLeftCell="A7" workbookViewId="0">
      <selection activeCell="G20" sqref="G20"/>
    </sheetView>
  </sheetViews>
  <sheetFormatPr defaultColWidth="9" defaultRowHeight="11.6" outlineLevelCol="5"/>
  <cols>
    <col min="1" max="1" width="20.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4.625" style="1" customWidth="1"/>
    <col min="7" max="7" width="16" style="1" customWidth="1"/>
    <col min="8" max="16384" width="9" style="1"/>
  </cols>
  <sheetData>
    <row r="2" ht="14.25" customHeight="1" spans="1:6">
      <c r="A2" s="2" t="s">
        <v>65</v>
      </c>
      <c r="B2" s="2"/>
      <c r="C2" s="2"/>
      <c r="D2" s="2"/>
      <c r="E2" s="2"/>
      <c r="F2" s="2"/>
    </row>
    <row r="3" ht="14.25" customHeight="1" spans="1:6">
      <c r="A3" s="2"/>
      <c r="B3" s="2"/>
      <c r="C3" s="2"/>
      <c r="D3" s="2"/>
      <c r="E3" s="2"/>
      <c r="F3" s="2"/>
    </row>
    <row r="4" ht="14.25" customHeight="1" spans="1:6">
      <c r="A4" s="2"/>
      <c r="B4" s="2"/>
      <c r="C4" s="2"/>
      <c r="D4" s="2"/>
      <c r="E4" s="2"/>
      <c r="F4" s="2"/>
    </row>
    <row r="5" ht="12" customHeight="1" spans="1:6">
      <c r="A5" s="2"/>
      <c r="B5" s="2"/>
      <c r="C5" s="2"/>
      <c r="D5" s="2"/>
      <c r="E5" s="2"/>
      <c r="F5" s="2"/>
    </row>
    <row r="6" spans="1:6">
      <c r="A6" s="4"/>
      <c r="B6" s="4"/>
      <c r="C6" s="4"/>
      <c r="D6" s="4"/>
      <c r="E6" s="4"/>
      <c r="F6" s="4"/>
    </row>
    <row r="7" customFormat="1" ht="15" customHeight="1" spans="1:6">
      <c r="A7" s="5" t="s">
        <v>1</v>
      </c>
      <c r="B7" s="10"/>
      <c r="C7" s="6" t="s">
        <v>2</v>
      </c>
      <c r="D7" s="5"/>
      <c r="E7" s="5"/>
      <c r="F7" s="5"/>
    </row>
    <row r="8" customFormat="1" ht="13.5" customHeight="1" spans="1:6">
      <c r="A8" s="13" t="s">
        <v>467</v>
      </c>
      <c r="B8" s="14"/>
      <c r="C8" s="9" t="s">
        <v>496</v>
      </c>
      <c r="D8" s="7"/>
      <c r="E8" s="7"/>
      <c r="F8" s="7"/>
    </row>
    <row r="9" customFormat="1" ht="15" customHeight="1" spans="1:6">
      <c r="A9" s="13" t="s">
        <v>50</v>
      </c>
      <c r="B9" s="14"/>
      <c r="C9" s="9"/>
      <c r="D9" s="7"/>
      <c r="E9" s="7"/>
      <c r="F9" s="7"/>
    </row>
    <row r="10" customFormat="1" ht="15" customHeight="1" spans="1:6">
      <c r="A10" s="7" t="s">
        <v>52</v>
      </c>
      <c r="B10" s="8"/>
      <c r="C10" s="9"/>
      <c r="D10" s="7"/>
      <c r="E10" s="7"/>
      <c r="F10" s="7"/>
    </row>
    <row r="11" customFormat="1" ht="15" customHeight="1" spans="1:6">
      <c r="A11" s="116"/>
      <c r="B11" s="117"/>
      <c r="C11" s="11"/>
      <c r="D11" s="12"/>
      <c r="E11" s="12"/>
      <c r="F11" s="12"/>
    </row>
    <row r="12" customFormat="1" ht="14.25" customHeight="1" spans="1:6">
      <c r="A12" s="5" t="s">
        <v>7</v>
      </c>
      <c r="B12" s="10"/>
      <c r="C12" s="6" t="s">
        <v>499</v>
      </c>
      <c r="D12" s="5"/>
      <c r="E12" s="5"/>
      <c r="F12" s="5"/>
    </row>
    <row r="13" customFormat="1" ht="14.25" customHeight="1" spans="1:6">
      <c r="A13" s="13" t="s">
        <v>471</v>
      </c>
      <c r="B13" s="14"/>
      <c r="C13" s="15"/>
      <c r="D13" s="16"/>
      <c r="E13" s="16"/>
      <c r="F13" s="16"/>
    </row>
    <row r="14" customFormat="1" ht="14.25" customHeight="1" spans="1:6">
      <c r="A14" s="13" t="s">
        <v>472</v>
      </c>
      <c r="B14" s="14"/>
      <c r="C14" s="15"/>
      <c r="D14" s="16"/>
      <c r="E14" s="16"/>
      <c r="F14" s="16"/>
    </row>
    <row r="15" customFormat="1" ht="16.5" customHeight="1" spans="1:6">
      <c r="A15" s="13" t="s">
        <v>473</v>
      </c>
      <c r="B15" s="14"/>
      <c r="C15" s="15"/>
      <c r="D15" s="16"/>
      <c r="E15" s="16"/>
      <c r="F15" s="16"/>
    </row>
    <row r="16" customFormat="1" ht="14.25" customHeight="1" spans="1:6">
      <c r="A16" s="5" t="s">
        <v>15</v>
      </c>
      <c r="B16" s="10"/>
      <c r="C16" s="15"/>
      <c r="D16" s="16"/>
      <c r="E16" s="16"/>
      <c r="F16" s="16"/>
    </row>
    <row r="17" customFormat="1" ht="14.25" customHeight="1" spans="1:6">
      <c r="A17" s="13" t="s">
        <v>471</v>
      </c>
      <c r="B17" s="14"/>
      <c r="C17" s="15"/>
      <c r="D17" s="16"/>
      <c r="E17" s="16"/>
      <c r="F17" s="16"/>
    </row>
    <row r="18" customFormat="1" ht="14.25" customHeight="1" spans="1:6">
      <c r="A18" s="13" t="s">
        <v>474</v>
      </c>
      <c r="B18" s="14"/>
      <c r="C18" s="15"/>
      <c r="D18" s="16"/>
      <c r="E18" s="16"/>
      <c r="F18" s="16"/>
    </row>
    <row r="19" customFormat="1" ht="14.25" customHeight="1" spans="1:6">
      <c r="A19" s="13" t="s">
        <v>473</v>
      </c>
      <c r="B19" s="14"/>
      <c r="C19" s="15"/>
      <c r="D19" s="16"/>
      <c r="E19" s="16"/>
      <c r="F19" s="16"/>
    </row>
    <row r="20" customFormat="1" ht="12" customHeight="1" spans="1:6">
      <c r="A20" s="13"/>
      <c r="B20" s="14"/>
      <c r="C20" s="15"/>
      <c r="D20" s="16"/>
      <c r="E20" s="16"/>
      <c r="F20" s="16"/>
    </row>
    <row r="21" customFormat="1" ht="12" customHeight="1" spans="1:6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6">
      <c r="A22" s="19" t="s">
        <v>497</v>
      </c>
      <c r="B22" s="19" t="s">
        <v>476</v>
      </c>
      <c r="C22" s="15"/>
      <c r="D22" s="16"/>
      <c r="E22" s="16"/>
      <c r="F22" s="16"/>
    </row>
    <row r="23" customFormat="1" ht="16.5" customHeight="1" spans="1:6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6">
      <c r="A24" s="21" t="s">
        <v>498</v>
      </c>
      <c r="B24" s="22" t="s">
        <v>478</v>
      </c>
      <c r="C24" s="15"/>
      <c r="D24" s="16"/>
      <c r="E24" s="16"/>
      <c r="F24" s="16"/>
    </row>
    <row r="25" customFormat="1" ht="20.25" spans="1:6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6">
      <c r="A26" s="29"/>
      <c r="B26" s="29"/>
      <c r="C26" s="29"/>
      <c r="D26" s="29"/>
      <c r="E26" s="29"/>
      <c r="F26" s="29"/>
    </row>
    <row r="27" ht="12" customHeight="1" spans="1:6">
      <c r="A27" s="30"/>
      <c r="B27" s="216" t="s">
        <v>479</v>
      </c>
      <c r="C27" s="31"/>
      <c r="D27" s="32"/>
      <c r="E27" s="32"/>
      <c r="F27" s="33"/>
    </row>
    <row r="28" ht="12" customHeight="1" spans="1:6">
      <c r="A28" s="34"/>
      <c r="B28" s="67" t="s">
        <v>480</v>
      </c>
      <c r="C28" s="31"/>
      <c r="D28" s="32"/>
      <c r="E28" s="32"/>
      <c r="F28" s="33"/>
    </row>
    <row r="29" spans="1:6">
      <c r="A29" s="35"/>
      <c r="B29" s="30" t="s">
        <v>451</v>
      </c>
      <c r="C29" s="36"/>
      <c r="D29" s="35"/>
      <c r="E29" s="35"/>
      <c r="F29" s="35"/>
    </row>
    <row r="30" s="67" customFormat="1" ht="9.4" customHeight="1" spans="1:6">
      <c r="A30" s="41"/>
      <c r="B30" s="35"/>
      <c r="C30" s="35"/>
      <c r="D30" s="35"/>
      <c r="E30" s="35"/>
      <c r="F30" s="35"/>
    </row>
    <row r="31" s="67" customFormat="1" ht="10.5" customHeight="1" spans="1:6">
      <c r="A31" s="35"/>
      <c r="B31" s="217" t="s">
        <v>452</v>
      </c>
      <c r="C31" s="217"/>
      <c r="D31" s="218"/>
      <c r="E31" s="217"/>
      <c r="F31" s="217"/>
    </row>
    <row r="32" s="67" customFormat="1" ht="11.65" spans="1:6">
      <c r="B32" s="219" t="s">
        <v>500</v>
      </c>
      <c r="C32" s="220"/>
      <c r="D32" s="221">
        <v>20000</v>
      </c>
      <c r="E32" s="221">
        <f>D32+100</f>
        <v>20100</v>
      </c>
      <c r="F32" s="222" t="s">
        <v>180</v>
      </c>
    </row>
    <row r="33" s="67" customFormat="1" ht="12" customHeight="1" spans="1:6">
      <c r="A33" s="35"/>
      <c r="B33" s="219" t="s">
        <v>501</v>
      </c>
      <c r="C33" s="222"/>
      <c r="D33" s="221">
        <v>20000</v>
      </c>
      <c r="E33" s="221">
        <f>D33+100</f>
        <v>20100</v>
      </c>
      <c r="F33" s="222" t="s">
        <v>180</v>
      </c>
    </row>
    <row r="34" s="67" customFormat="1" ht="12" customHeight="1" spans="1:6">
      <c r="A34" s="35"/>
      <c r="B34" s="219" t="s">
        <v>502</v>
      </c>
      <c r="C34" s="222"/>
      <c r="D34" s="221">
        <v>20000</v>
      </c>
      <c r="E34" s="221">
        <f>D34+100</f>
        <v>20100</v>
      </c>
      <c r="F34" s="222" t="s">
        <v>180</v>
      </c>
    </row>
    <row r="35" s="67" customFormat="1" ht="11.65" spans="1:6">
      <c r="A35" s="35"/>
      <c r="B35" s="219" t="s">
        <v>503</v>
      </c>
      <c r="C35" s="222"/>
      <c r="D35" s="221">
        <v>20000</v>
      </c>
      <c r="E35" s="221">
        <f>D35+100</f>
        <v>20100</v>
      </c>
      <c r="F35" s="222" t="s">
        <v>180</v>
      </c>
    </row>
    <row r="36" s="67" customFormat="1" ht="12" customHeight="1" spans="1:6">
      <c r="A36" s="35"/>
      <c r="B36" s="223" t="s">
        <v>504</v>
      </c>
      <c r="C36" s="222"/>
      <c r="D36" s="221">
        <v>20000</v>
      </c>
      <c r="E36" s="221">
        <f>D36+100</f>
        <v>20100</v>
      </c>
      <c r="F36" s="222" t="s">
        <v>180</v>
      </c>
    </row>
    <row r="37" s="67" customFormat="1" ht="12" customHeight="1" spans="1:6">
      <c r="A37" s="111"/>
      <c r="B37" s="224"/>
      <c r="C37" s="106"/>
      <c r="D37" s="225"/>
      <c r="E37" s="130"/>
      <c r="F37" s="34"/>
    </row>
    <row r="38" s="67" customFormat="1" ht="12" customHeight="1" spans="1:6">
      <c r="A38" s="111"/>
      <c r="B38" s="224"/>
      <c r="C38" s="106"/>
      <c r="D38" s="225"/>
      <c r="E38" s="130"/>
      <c r="F38" s="34"/>
    </row>
    <row r="39" s="67" customFormat="1" ht="12" customHeight="1" spans="1:6">
      <c r="A39" s="111"/>
      <c r="B39" s="224"/>
      <c r="C39" s="106"/>
      <c r="D39" s="225"/>
      <c r="E39" s="130"/>
      <c r="F39" s="34"/>
    </row>
    <row r="40" s="67" customFormat="1" ht="12" customHeight="1" spans="1:6">
      <c r="A40" s="35"/>
      <c r="B40" s="226"/>
      <c r="C40" s="34"/>
      <c r="D40" s="130"/>
      <c r="E40" s="130"/>
      <c r="F40" s="34"/>
    </row>
    <row r="41" s="67" customFormat="1" ht="12" customHeight="1" spans="1:6">
      <c r="A41" s="35"/>
      <c r="B41" s="226"/>
      <c r="C41" s="34"/>
      <c r="D41" s="130"/>
      <c r="E41" s="130"/>
      <c r="F41" s="34"/>
    </row>
    <row r="42" s="67" customFormat="1" ht="12" customHeight="1" spans="1:6">
      <c r="A42" s="35"/>
      <c r="B42" s="226"/>
      <c r="C42" s="34"/>
      <c r="D42" s="130"/>
      <c r="E42" s="130"/>
      <c r="F42" s="34"/>
    </row>
    <row r="43" ht="12.35" spans="1:6">
      <c r="A43" s="37"/>
      <c r="B43" s="37"/>
      <c r="C43" s="37"/>
      <c r="D43" s="38"/>
      <c r="E43" s="38"/>
      <c r="F43" s="38"/>
    </row>
    <row r="44" s="128" customFormat="1" ht="12.35" spans="1:6">
      <c r="A44" s="34"/>
      <c r="B44" s="34" t="s">
        <v>36</v>
      </c>
      <c r="C44" s="34" t="s">
        <v>492</v>
      </c>
      <c r="D44" s="132" t="s">
        <v>493</v>
      </c>
      <c r="E44" s="132" t="s">
        <v>505</v>
      </c>
      <c r="F44" s="133" t="s">
        <v>506</v>
      </c>
    </row>
    <row r="45" spans="1:6">
      <c r="C45" s="42"/>
      <c r="D45" s="212"/>
      <c r="E45" s="212"/>
      <c r="F45" s="212"/>
    </row>
    <row r="47" ht="13.15" customHeight="1"/>
    <row r="49" spans="4:6">
      <c r="D49" s="43" t="s">
        <v>83</v>
      </c>
      <c r="E49" s="43"/>
      <c r="F49" s="211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6:F26"/>
    <mergeCell ref="A43:B43"/>
    <mergeCell ref="A2:F6"/>
    <mergeCell ref="C12:F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5"/>
  <sheetViews>
    <sheetView topLeftCell="A4" workbookViewId="0">
      <selection activeCell="A23" sqref="A17:E29"/>
    </sheetView>
  </sheetViews>
  <sheetFormatPr defaultColWidth="9" defaultRowHeight="15.75"/>
  <cols>
    <col min="1" max="1" width="21.75" customWidth="1"/>
    <col min="2" max="2" width="23.375" customWidth="1"/>
    <col min="3" max="3" width="13.75" customWidth="1"/>
    <col min="4" max="4" width="14.125" customWidth="1"/>
    <col min="5" max="5" width="13.625" customWidth="1"/>
  </cols>
  <sheetData>
    <row r="2" spans="1:5">
      <c r="A2" s="2" t="s">
        <v>48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customHeight="1" spans="1:5">
      <c r="A6" s="2"/>
      <c r="B6" s="2"/>
      <c r="C6" s="2"/>
      <c r="D6" s="2"/>
      <c r="E6" s="2"/>
    </row>
    <row r="7" ht="2.25" customHeight="1" spans="1:5">
      <c r="A7" s="2"/>
      <c r="B7" s="2"/>
      <c r="C7" s="2"/>
      <c r="D7" s="2"/>
      <c r="E7" s="2"/>
    </row>
    <row r="8" ht="13.5" hidden="1" customHeight="1" spans="1:5">
      <c r="A8" s="2"/>
      <c r="B8" s="2"/>
      <c r="C8" s="2"/>
      <c r="D8" s="2"/>
      <c r="E8" s="2"/>
    </row>
    <row r="9" ht="17.25" hidden="1" customHeight="1" spans="1:5">
      <c r="A9" s="2"/>
      <c r="B9" s="2"/>
      <c r="C9" s="2"/>
      <c r="D9" s="2"/>
      <c r="E9" s="2"/>
    </row>
    <row r="10" ht="13.5" customHeight="1" spans="1:5">
      <c r="A10" s="134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4.25" customHeight="1" spans="1:5">
      <c r="A12" s="13" t="s">
        <v>3</v>
      </c>
      <c r="B12" s="14"/>
      <c r="C12" s="58" t="s">
        <v>507</v>
      </c>
      <c r="D12" s="59"/>
      <c r="E12" s="59"/>
    </row>
    <row r="13" ht="14.25" customHeight="1" spans="1:5">
      <c r="A13" s="13" t="s">
        <v>50</v>
      </c>
      <c r="B13" s="14"/>
      <c r="C13" s="6" t="s">
        <v>5</v>
      </c>
      <c r="D13" s="5"/>
      <c r="E13" s="5"/>
    </row>
    <row r="14" ht="15" customHeight="1" spans="1:5">
      <c r="A14" s="7" t="s">
        <v>52</v>
      </c>
      <c r="B14" s="8"/>
      <c r="C14" s="9"/>
      <c r="D14" s="7"/>
      <c r="E14" s="7"/>
    </row>
    <row r="15" ht="15" customHeight="1" spans="1:5">
      <c r="A15" s="116"/>
      <c r="B15" s="117"/>
      <c r="C15" s="6" t="s">
        <v>54</v>
      </c>
      <c r="D15" s="60"/>
      <c r="E15" s="60"/>
    </row>
    <row r="16" ht="14.25" customHeight="1" spans="1:5">
      <c r="A16" s="5" t="s">
        <v>7</v>
      </c>
      <c r="B16" s="10"/>
      <c r="C16" s="58" t="s">
        <v>508</v>
      </c>
      <c r="D16" s="59"/>
      <c r="E16" s="59"/>
    </row>
    <row r="17" ht="14.25" customHeight="1" spans="1:5">
      <c r="A17" s="13" t="s">
        <v>303</v>
      </c>
      <c r="B17" s="14"/>
      <c r="C17" s="61" t="s">
        <v>57</v>
      </c>
      <c r="D17" s="62"/>
      <c r="E17" s="62"/>
    </row>
    <row r="18" ht="14.25" customHeight="1" spans="1:5">
      <c r="A18" s="13" t="s">
        <v>304</v>
      </c>
      <c r="B18" s="14"/>
      <c r="C18" s="63"/>
      <c r="D18" s="13"/>
      <c r="E18" s="13"/>
    </row>
    <row r="19" ht="14.25" customHeight="1" spans="1:5">
      <c r="A19" s="13" t="s">
        <v>305</v>
      </c>
      <c r="B19" s="14"/>
      <c r="C19" s="63"/>
      <c r="D19" s="13"/>
      <c r="E19" s="13"/>
    </row>
    <row r="20" ht="14.25" customHeight="1" spans="1:5">
      <c r="A20" s="13"/>
      <c r="B20" s="14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303</v>
      </c>
      <c r="B22" s="14"/>
      <c r="C22" s="63"/>
      <c r="D22" s="13"/>
      <c r="E22" s="13"/>
    </row>
    <row r="23" ht="14.25" customHeight="1" spans="1:5">
      <c r="A23" s="13" t="s">
        <v>304</v>
      </c>
      <c r="B23" s="14"/>
      <c r="C23" s="63"/>
      <c r="D23" s="13"/>
      <c r="E23" s="13"/>
    </row>
    <row r="24" ht="14.25" customHeight="1" spans="1:5">
      <c r="A24" s="13" t="s">
        <v>305</v>
      </c>
      <c r="B24" s="14"/>
      <c r="C24" s="63"/>
      <c r="D24" s="13"/>
      <c r="E24" s="13"/>
    </row>
    <row r="25" ht="14.25" customHeight="1" spans="1:5">
      <c r="A25" s="13"/>
      <c r="B25" s="14"/>
      <c r="C25" s="63"/>
      <c r="D25" s="13"/>
      <c r="E25" s="13"/>
    </row>
    <row r="26" spans="1:5">
      <c r="A26" s="10" t="s">
        <v>17</v>
      </c>
      <c r="B26" s="18" t="s">
        <v>18</v>
      </c>
      <c r="C26" s="63"/>
      <c r="D26" s="13"/>
      <c r="E26" s="13"/>
    </row>
    <row r="27" ht="14.25" customHeight="1" spans="1:5">
      <c r="A27" s="19" t="s">
        <v>445</v>
      </c>
      <c r="B27" s="19" t="s">
        <v>476</v>
      </c>
      <c r="C27" s="63"/>
      <c r="D27" s="13"/>
      <c r="E27" s="13"/>
    </row>
    <row r="28" ht="13.5" customHeight="1" spans="1:5">
      <c r="A28" s="10" t="s">
        <v>21</v>
      </c>
      <c r="B28" s="18" t="s">
        <v>22</v>
      </c>
      <c r="C28" s="63"/>
      <c r="D28" s="13"/>
      <c r="E28" s="13"/>
    </row>
    <row r="29" ht="13.5" customHeight="1" spans="1:5">
      <c r="A29" s="21" t="s">
        <v>509</v>
      </c>
      <c r="B29" s="22" t="s">
        <v>510</v>
      </c>
      <c r="C29" s="58"/>
      <c r="D29" s="59"/>
      <c r="E29" s="59"/>
    </row>
    <row r="30" spans="1:5">
      <c r="A30" s="23" t="s">
        <v>24</v>
      </c>
      <c r="B30" s="24" t="s">
        <v>25</v>
      </c>
      <c r="C30" s="25" t="s">
        <v>26</v>
      </c>
      <c r="D30" s="25" t="s">
        <v>27</v>
      </c>
      <c r="E30" s="28" t="s">
        <v>28</v>
      </c>
    </row>
    <row r="31" ht="12" customHeight="1" spans="1:5">
      <c r="A31" s="29"/>
      <c r="B31" s="36"/>
      <c r="C31" s="36" t="s">
        <v>29</v>
      </c>
      <c r="D31" s="36" t="s">
        <v>30</v>
      </c>
      <c r="E31" s="64" t="s">
        <v>31</v>
      </c>
    </row>
    <row r="32" ht="6" customHeight="1" spans="1:5">
      <c r="A32" s="29"/>
      <c r="B32" s="29"/>
      <c r="C32" s="29"/>
      <c r="D32" s="29"/>
      <c r="E32" s="29"/>
    </row>
    <row r="33" ht="11.25" customHeight="1" spans="1:9">
      <c r="A33" s="29"/>
      <c r="B33" s="29"/>
      <c r="C33" s="29" t="s">
        <v>291</v>
      </c>
      <c r="D33" s="30" t="s">
        <v>310</v>
      </c>
      <c r="E33" s="30"/>
    </row>
    <row r="34" ht="15" customHeight="1" spans="1:9">
      <c r="B34" s="213" t="s">
        <v>479</v>
      </c>
      <c r="C34" s="31">
        <v>211.79</v>
      </c>
      <c r="D34" s="65">
        <v>680</v>
      </c>
      <c r="E34" s="66">
        <f>C34*D34</f>
        <v>144017.2</v>
      </c>
    </row>
    <row r="35" ht="11.25" customHeight="1" spans="1:9">
      <c r="A35" s="35" t="s">
        <v>32</v>
      </c>
      <c r="B35" s="35" t="s">
        <v>511</v>
      </c>
      <c r="C35" s="35"/>
      <c r="D35" s="35"/>
      <c r="E35" s="66"/>
    </row>
    <row r="36" ht="15" customHeight="1" spans="1:9">
      <c r="A36" s="34"/>
      <c r="B36" s="136" t="s">
        <v>481</v>
      </c>
      <c r="C36" s="31"/>
      <c r="D36" s="65"/>
      <c r="E36" s="66"/>
      <c r="I36" s="214"/>
    </row>
    <row r="37" ht="15" customHeight="1" spans="1:9">
      <c r="A37" s="34"/>
      <c r="B37" s="35" t="s">
        <v>296</v>
      </c>
      <c r="C37" s="35"/>
      <c r="D37" s="65"/>
      <c r="E37" s="66"/>
    </row>
    <row r="38" ht="15" customHeight="1" spans="1:9">
      <c r="A38" s="35"/>
      <c r="B38" s="30"/>
      <c r="C38" s="30"/>
      <c r="D38" s="30"/>
      <c r="E38" s="31"/>
    </row>
    <row r="39" ht="15" customHeight="1" spans="1:9">
      <c r="A39" s="35"/>
      <c r="B39" s="35"/>
      <c r="C39" s="31"/>
      <c r="D39" s="52"/>
      <c r="E39" s="31"/>
    </row>
    <row r="40" ht="15" customHeight="1" spans="1:9">
      <c r="A40" s="30"/>
      <c r="B40" s="30"/>
      <c r="C40" s="36"/>
      <c r="D40" s="35"/>
      <c r="E40" s="35"/>
    </row>
    <row r="41" ht="15" customHeight="1" spans="1:9">
      <c r="A41" s="37"/>
      <c r="B41" s="37"/>
      <c r="C41" s="37"/>
      <c r="D41" s="38"/>
      <c r="E41" s="38"/>
    </row>
    <row r="42" ht="22.5" customHeight="1" spans="1:9">
      <c r="A42" s="35"/>
      <c r="B42" s="36" t="s">
        <v>36</v>
      </c>
      <c r="C42" s="36" t="s">
        <v>512</v>
      </c>
      <c r="D42" s="36" t="s">
        <v>513</v>
      </c>
      <c r="E42" s="215" t="s">
        <v>514</v>
      </c>
    </row>
    <row r="46" spans="1:9">
      <c r="D46" s="55" t="s">
        <v>47</v>
      </c>
    </row>
    <row r="55" spans="4:4">
      <c r="D55">
        <f>3800*7*6.45*0.13</f>
        <v>22304.1</v>
      </c>
    </row>
  </sheetData>
  <mergeCells count="25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1:B21"/>
    <mergeCell ref="A22:B22"/>
    <mergeCell ref="A23:B23"/>
    <mergeCell ref="A24:B24"/>
    <mergeCell ref="A32:E32"/>
    <mergeCell ref="D33:E33"/>
    <mergeCell ref="B38:D38"/>
    <mergeCell ref="A40:B40"/>
    <mergeCell ref="A41:B41"/>
    <mergeCell ref="A2:E9"/>
    <mergeCell ref="C17:E29"/>
  </mergeCells>
  <printOptions horizontalCentered="1"/>
  <pageMargins left="0" right="0.393700787401575" top="0.984251968503937" bottom="0.984251968503937" header="0.511811023622047" footer="0.511811023622047"/>
  <pageSetup paperSize="9" orientation="portrait"/>
  <headerFooter alignWithMargins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8"/>
  <sheetViews>
    <sheetView topLeftCell="A16" workbookViewId="0">
      <selection activeCell="A23" sqref="A12:H25"/>
    </sheetView>
  </sheetViews>
  <sheetFormatPr defaultColWidth="9" defaultRowHeight="11.6"/>
  <cols>
    <col min="1" max="1" width="21.4416666666667" style="1" customWidth="1"/>
    <col min="2" max="2" width="24.5" style="1" customWidth="1"/>
    <col min="3" max="3" width="8.625" style="1" customWidth="1"/>
    <col min="4" max="4" width="7.06666666666667" style="1" customWidth="1"/>
    <col min="5" max="5" width="2.75" style="1" customWidth="1"/>
    <col min="6" max="6" width="8.56666666666667" style="1" customWidth="1"/>
    <col min="7" max="7" width="3.44166666666667" style="1" customWidth="1"/>
    <col min="8" max="8" width="10.6916666666667" style="1" customWidth="1"/>
    <col min="9" max="9" width="14.625" style="1" customWidth="1"/>
    <col min="10" max="10" width="11.875" style="1" customWidth="1"/>
    <col min="11" max="16384" width="9" style="1"/>
  </cols>
  <sheetData>
    <row r="2" ht="14.25" customHeight="1" spans="1:10">
      <c r="A2" s="2" t="s">
        <v>65</v>
      </c>
      <c r="B2" s="2"/>
      <c r="C2" s="2"/>
      <c r="D2" s="2"/>
      <c r="E2" s="2"/>
      <c r="F2" s="2"/>
      <c r="G2" s="2"/>
      <c r="H2" s="2"/>
      <c r="I2" s="2"/>
      <c r="J2" s="3"/>
    </row>
    <row r="3" ht="14.25" customHeight="1" spans="1:10">
      <c r="A3" s="2"/>
      <c r="B3" s="2"/>
      <c r="C3" s="2"/>
      <c r="D3" s="2"/>
      <c r="E3" s="2"/>
      <c r="F3" s="2"/>
      <c r="G3" s="2"/>
      <c r="H3" s="2"/>
      <c r="I3" s="2"/>
      <c r="J3" s="3"/>
    </row>
    <row r="4" ht="14.25" customHeight="1" spans="1:10">
      <c r="A4" s="2"/>
      <c r="B4" s="2"/>
      <c r="C4" s="2"/>
      <c r="D4" s="2"/>
      <c r="E4" s="2"/>
      <c r="F4" s="2"/>
      <c r="G4" s="2"/>
      <c r="H4" s="2"/>
      <c r="I4" s="2"/>
      <c r="J4" s="3"/>
    </row>
    <row r="5" ht="12" customHeight="1" spans="1:10">
      <c r="A5" s="2"/>
      <c r="B5" s="2"/>
      <c r="C5" s="2"/>
      <c r="D5" s="2"/>
      <c r="E5" s="2"/>
      <c r="F5" s="2"/>
      <c r="G5" s="2"/>
      <c r="H5" s="2"/>
      <c r="I5" s="2"/>
      <c r="J5" s="3"/>
    </row>
    <row r="6" ht="19.85" spans="1:10">
      <c r="A6" s="4"/>
      <c r="B6" s="4"/>
      <c r="C6" s="4"/>
      <c r="D6" s="4"/>
      <c r="E6" s="4"/>
      <c r="F6" s="4"/>
      <c r="G6" s="4"/>
      <c r="H6" s="4"/>
      <c r="I6" s="200"/>
    </row>
    <row r="7" customFormat="1" ht="15" customHeight="1" spans="1:10">
      <c r="A7" s="5" t="s">
        <v>1</v>
      </c>
      <c r="B7" s="5"/>
      <c r="C7" s="6" t="s">
        <v>2</v>
      </c>
      <c r="D7" s="5"/>
      <c r="E7" s="5"/>
      <c r="F7" s="5"/>
      <c r="G7" s="5"/>
      <c r="H7" s="5"/>
      <c r="I7" s="16"/>
    </row>
    <row r="8" customFormat="1" ht="13.5" customHeight="1" spans="1:10">
      <c r="A8" s="13" t="s">
        <v>3</v>
      </c>
      <c r="B8" s="14"/>
      <c r="C8" s="9" t="s">
        <v>515</v>
      </c>
      <c r="D8" s="7"/>
      <c r="E8" s="7"/>
      <c r="F8" s="7"/>
      <c r="G8" s="7"/>
      <c r="H8" s="7"/>
      <c r="I8" s="7"/>
    </row>
    <row r="9" customFormat="1" ht="15" customHeight="1" spans="1:10">
      <c r="A9" s="13" t="s">
        <v>50</v>
      </c>
      <c r="B9" s="14"/>
      <c r="C9" s="9"/>
      <c r="D9" s="7"/>
      <c r="E9" s="7"/>
      <c r="F9" s="7"/>
      <c r="G9" s="7"/>
      <c r="H9" s="7"/>
      <c r="I9" s="7"/>
    </row>
    <row r="10" customFormat="1" ht="15" customHeight="1" spans="1:10">
      <c r="A10" s="7" t="s">
        <v>52</v>
      </c>
      <c r="B10" s="8"/>
      <c r="C10" s="9"/>
      <c r="D10" s="7"/>
      <c r="E10" s="7"/>
      <c r="F10" s="7"/>
      <c r="G10" s="7"/>
      <c r="H10" s="7"/>
      <c r="I10" s="7"/>
    </row>
    <row r="11" customFormat="1" ht="15" customHeight="1" spans="1:10">
      <c r="A11" s="116"/>
      <c r="B11" s="117"/>
      <c r="C11" s="11"/>
      <c r="D11" s="12"/>
      <c r="E11" s="12"/>
      <c r="F11" s="12"/>
      <c r="G11" s="12"/>
      <c r="H11" s="12"/>
      <c r="I11" s="7"/>
    </row>
    <row r="12" customFormat="1" ht="14.25" customHeight="1" spans="1:10">
      <c r="A12" s="5" t="s">
        <v>7</v>
      </c>
      <c r="B12" s="10"/>
      <c r="C12" s="6" t="s">
        <v>102</v>
      </c>
      <c r="D12" s="5"/>
      <c r="E12" s="5"/>
      <c r="F12" s="5"/>
      <c r="G12" s="5"/>
      <c r="H12" s="5"/>
      <c r="I12" s="16"/>
    </row>
    <row r="13" customFormat="1" ht="14.25" customHeight="1" spans="1:10">
      <c r="A13" s="13" t="s">
        <v>303</v>
      </c>
      <c r="B13" s="14"/>
      <c r="C13" s="15"/>
      <c r="D13" s="16"/>
      <c r="E13" s="16"/>
      <c r="F13" s="16"/>
      <c r="G13" s="16"/>
      <c r="H13" s="16"/>
      <c r="I13" s="16"/>
    </row>
    <row r="14" customFormat="1" ht="14.25" customHeight="1" spans="1:10">
      <c r="A14" s="13" t="s">
        <v>304</v>
      </c>
      <c r="B14" s="14"/>
      <c r="C14" s="15"/>
      <c r="D14" s="16"/>
      <c r="E14" s="16"/>
      <c r="F14" s="16"/>
      <c r="G14" s="16"/>
      <c r="H14" s="16"/>
      <c r="I14" s="16"/>
    </row>
    <row r="15" customFormat="1" ht="14.25" customHeight="1" spans="1:10">
      <c r="A15" s="13" t="s">
        <v>305</v>
      </c>
      <c r="B15" s="14"/>
      <c r="C15" s="15"/>
      <c r="D15" s="16"/>
      <c r="E15" s="16"/>
      <c r="F15" s="16"/>
      <c r="G15" s="16"/>
      <c r="H15" s="16"/>
      <c r="I15" s="16"/>
    </row>
    <row r="16" customFormat="1" ht="16.5" customHeight="1" spans="1:10">
      <c r="A16" s="13"/>
      <c r="B16" s="14"/>
      <c r="C16" s="15"/>
      <c r="D16" s="16"/>
      <c r="E16" s="16"/>
      <c r="F16" s="16"/>
      <c r="G16" s="16"/>
      <c r="H16" s="16"/>
      <c r="I16" s="16"/>
    </row>
    <row r="17" customFormat="1" ht="14.25" customHeight="1" spans="1:10">
      <c r="A17" s="5" t="s">
        <v>15</v>
      </c>
      <c r="B17" s="10"/>
      <c r="C17" s="15"/>
      <c r="D17" s="16"/>
      <c r="E17" s="16"/>
      <c r="F17" s="16"/>
      <c r="G17" s="16"/>
      <c r="H17" s="16"/>
      <c r="I17" s="16"/>
    </row>
    <row r="18" customFormat="1" ht="14.25" customHeight="1" spans="1:10">
      <c r="A18" s="13" t="s">
        <v>303</v>
      </c>
      <c r="B18" s="14"/>
      <c r="C18" s="15"/>
      <c r="D18" s="16"/>
      <c r="E18" s="16"/>
      <c r="F18" s="16"/>
      <c r="G18" s="16"/>
      <c r="H18" s="16"/>
      <c r="I18" s="16"/>
    </row>
    <row r="19" customFormat="1" ht="14.25" customHeight="1" spans="1:10">
      <c r="A19" s="13" t="s">
        <v>304</v>
      </c>
      <c r="B19" s="14"/>
      <c r="C19" s="15"/>
      <c r="D19" s="16"/>
      <c r="E19" s="16"/>
      <c r="F19" s="16"/>
      <c r="G19" s="16"/>
      <c r="H19" s="16"/>
      <c r="I19" s="16"/>
    </row>
    <row r="20" customFormat="1" ht="14.25" customHeight="1" spans="1:10">
      <c r="A20" s="13" t="s">
        <v>305</v>
      </c>
      <c r="B20" s="14"/>
      <c r="C20" s="15"/>
      <c r="D20" s="16"/>
      <c r="E20" s="16"/>
      <c r="F20" s="16"/>
      <c r="G20" s="16"/>
      <c r="H20" s="16"/>
      <c r="I20" s="16"/>
    </row>
    <row r="21" customFormat="1" ht="12" customHeight="1" spans="1:10">
      <c r="A21" s="13"/>
      <c r="B21" s="14"/>
      <c r="C21" s="15"/>
      <c r="D21" s="16"/>
      <c r="E21" s="16"/>
      <c r="F21" s="16"/>
      <c r="G21" s="16"/>
      <c r="H21" s="16"/>
      <c r="I21" s="16"/>
    </row>
    <row r="22" customFormat="1" ht="12" customHeight="1" spans="1:10">
      <c r="A22" s="10" t="s">
        <v>17</v>
      </c>
      <c r="B22" s="18" t="s">
        <v>18</v>
      </c>
      <c r="C22" s="15"/>
      <c r="D22" s="16"/>
      <c r="E22" s="16"/>
      <c r="F22" s="16"/>
      <c r="G22" s="16"/>
      <c r="H22" s="16"/>
      <c r="I22" s="16"/>
    </row>
    <row r="23" customFormat="1" ht="12" customHeight="1" spans="1:10">
      <c r="A23" s="19" t="s">
        <v>445</v>
      </c>
      <c r="B23" s="19" t="s">
        <v>476</v>
      </c>
      <c r="C23" s="15"/>
      <c r="D23" s="16"/>
      <c r="E23" s="16"/>
      <c r="F23" s="16"/>
      <c r="G23" s="16"/>
      <c r="H23" s="16"/>
      <c r="I23" s="16"/>
    </row>
    <row r="24" customFormat="1" ht="16.5" customHeight="1" spans="1:10">
      <c r="A24" s="10" t="s">
        <v>21</v>
      </c>
      <c r="B24" s="18" t="s">
        <v>22</v>
      </c>
      <c r="C24" s="15"/>
      <c r="D24" s="16"/>
      <c r="E24" s="16"/>
      <c r="F24" s="16"/>
      <c r="G24" s="16"/>
      <c r="H24" s="16"/>
      <c r="I24" s="16"/>
    </row>
    <row r="25" customFormat="1" ht="15.75" spans="1:10">
      <c r="A25" s="21" t="s">
        <v>509</v>
      </c>
      <c r="B25" s="22" t="s">
        <v>510</v>
      </c>
      <c r="C25" s="15"/>
      <c r="D25" s="16"/>
      <c r="E25" s="16"/>
      <c r="F25" s="16"/>
      <c r="G25" s="16"/>
      <c r="H25" s="16"/>
      <c r="I25" s="16"/>
    </row>
    <row r="26" customFormat="1" ht="20.25" customHeight="1" spans="1:10">
      <c r="A26" s="23" t="s">
        <v>24</v>
      </c>
      <c r="B26" s="24" t="s">
        <v>25</v>
      </c>
      <c r="C26" s="25" t="s">
        <v>71</v>
      </c>
      <c r="D26" s="27" t="s">
        <v>72</v>
      </c>
      <c r="E26" s="201"/>
      <c r="F26" s="27" t="s">
        <v>73</v>
      </c>
      <c r="G26" s="201"/>
      <c r="H26" s="28" t="s">
        <v>103</v>
      </c>
      <c r="I26" s="202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ht="12" customHeight="1" spans="1:10">
      <c r="A28" s="30"/>
      <c r="B28" s="30" t="s">
        <v>479</v>
      </c>
      <c r="C28" s="31"/>
      <c r="D28" s="32"/>
      <c r="E28" s="32"/>
      <c r="F28" s="32"/>
      <c r="G28" s="32"/>
      <c r="H28" s="33"/>
      <c r="I28" s="33"/>
      <c r="J28" s="31"/>
    </row>
    <row r="29" ht="12" customHeight="1" spans="1:10">
      <c r="A29" s="34"/>
      <c r="B29" s="67" t="s">
        <v>516</v>
      </c>
      <c r="C29" s="31"/>
      <c r="D29" s="32"/>
      <c r="E29" s="32"/>
      <c r="F29" s="32"/>
      <c r="G29" s="32"/>
      <c r="H29" s="33"/>
      <c r="I29" s="33"/>
      <c r="J29" s="31"/>
    </row>
    <row r="30" spans="1:10">
      <c r="A30" s="35"/>
      <c r="B30" s="30" t="s">
        <v>451</v>
      </c>
      <c r="C30" s="36"/>
      <c r="D30" s="35"/>
      <c r="E30" s="35"/>
      <c r="F30" s="35"/>
      <c r="G30" s="35"/>
      <c r="H30" s="35"/>
      <c r="I30" s="35"/>
      <c r="J30" s="35"/>
    </row>
    <row r="31" s="67" customFormat="1" ht="19.5" customHeight="1" spans="1:10">
      <c r="A31" s="41"/>
      <c r="B31" s="35"/>
      <c r="C31" s="35"/>
      <c r="D31" s="35"/>
      <c r="E31" s="35"/>
      <c r="F31" s="35"/>
      <c r="G31" s="35"/>
      <c r="H31" s="35"/>
      <c r="I31" s="35"/>
      <c r="J31" s="35"/>
    </row>
    <row r="32" s="67" customFormat="1" ht="10.5" customHeight="1" spans="1:10">
      <c r="A32" s="35"/>
      <c r="B32" s="39" t="s">
        <v>452</v>
      </c>
      <c r="C32" s="39"/>
      <c r="D32" s="203"/>
      <c r="E32" s="203"/>
      <c r="F32" s="39"/>
      <c r="G32" s="39"/>
      <c r="H32" s="39"/>
      <c r="I32" s="35"/>
      <c r="J32" s="35"/>
    </row>
    <row r="33" s="67" customFormat="1" ht="12" customHeight="1" spans="1:10">
      <c r="A33" s="35"/>
      <c r="B33" s="204" t="s">
        <v>517</v>
      </c>
      <c r="C33" s="205"/>
      <c r="D33" s="206">
        <v>21230</v>
      </c>
      <c r="E33" s="206"/>
      <c r="F33" s="206">
        <f>D33+110</f>
        <v>21340</v>
      </c>
      <c r="G33" s="206"/>
      <c r="H33" s="207" t="s">
        <v>518</v>
      </c>
      <c r="I33" s="34"/>
      <c r="J33" s="35"/>
    </row>
    <row r="34" s="67" customFormat="1" ht="11.25" spans="1:10">
      <c r="B34" s="204" t="s">
        <v>519</v>
      </c>
      <c r="C34" s="208"/>
      <c r="D34" s="206">
        <v>21220</v>
      </c>
      <c r="E34" s="206"/>
      <c r="F34" s="206">
        <f t="shared" ref="F34:F42" si="0">D34+110</f>
        <v>21330</v>
      </c>
      <c r="G34" s="206"/>
      <c r="H34" s="207" t="s">
        <v>518</v>
      </c>
      <c r="I34" s="34"/>
    </row>
    <row r="35" s="67" customFormat="1" ht="11.25" spans="1:10">
      <c r="A35" s="35"/>
      <c r="B35" s="204" t="s">
        <v>520</v>
      </c>
      <c r="C35" s="205"/>
      <c r="D35" s="206">
        <v>21290</v>
      </c>
      <c r="E35" s="206"/>
      <c r="F35" s="206">
        <f t="shared" si="0"/>
        <v>21400</v>
      </c>
      <c r="G35" s="206"/>
      <c r="H35" s="207" t="s">
        <v>518</v>
      </c>
      <c r="I35" s="34"/>
      <c r="J35" s="35"/>
    </row>
    <row r="36" s="67" customFormat="1" ht="12" customHeight="1" spans="1:10">
      <c r="A36" s="35"/>
      <c r="B36" s="204" t="s">
        <v>521</v>
      </c>
      <c r="C36" s="205"/>
      <c r="D36" s="206">
        <v>20910</v>
      </c>
      <c r="E36" s="206"/>
      <c r="F36" s="206">
        <f t="shared" si="0"/>
        <v>21020</v>
      </c>
      <c r="G36" s="206"/>
      <c r="H36" s="207" t="s">
        <v>518</v>
      </c>
      <c r="I36" s="34"/>
      <c r="J36" s="35"/>
    </row>
    <row r="37" s="67" customFormat="1" ht="12" customHeight="1" spans="1:10">
      <c r="A37" s="35"/>
      <c r="B37" s="204" t="s">
        <v>522</v>
      </c>
      <c r="C37" s="205"/>
      <c r="D37" s="206">
        <v>21030</v>
      </c>
      <c r="E37" s="206"/>
      <c r="F37" s="206">
        <f t="shared" si="0"/>
        <v>21140</v>
      </c>
      <c r="G37" s="206"/>
      <c r="H37" s="207" t="s">
        <v>518</v>
      </c>
      <c r="I37" s="34"/>
      <c r="J37" s="35"/>
    </row>
    <row r="38" s="67" customFormat="1" ht="12" customHeight="1" spans="1:10">
      <c r="A38" s="35"/>
      <c r="B38" s="204" t="s">
        <v>523</v>
      </c>
      <c r="C38" s="205"/>
      <c r="D38" s="206">
        <v>21290</v>
      </c>
      <c r="E38" s="206"/>
      <c r="F38" s="206">
        <f t="shared" si="0"/>
        <v>21400</v>
      </c>
      <c r="G38" s="206"/>
      <c r="H38" s="207" t="s">
        <v>518</v>
      </c>
      <c r="I38" s="34"/>
      <c r="J38" s="35"/>
    </row>
    <row r="39" s="67" customFormat="1" ht="12" customHeight="1" spans="1:10">
      <c r="A39" s="35"/>
      <c r="B39" s="204" t="s">
        <v>524</v>
      </c>
      <c r="C39" s="205"/>
      <c r="D39" s="206">
        <v>21210</v>
      </c>
      <c r="E39" s="206"/>
      <c r="F39" s="206">
        <f t="shared" si="0"/>
        <v>21320</v>
      </c>
      <c r="G39" s="206"/>
      <c r="H39" s="207" t="s">
        <v>518</v>
      </c>
      <c r="I39" s="34"/>
      <c r="J39" s="35"/>
    </row>
    <row r="40" s="67" customFormat="1" ht="12" customHeight="1" spans="1:10">
      <c r="A40" s="35"/>
      <c r="B40" s="204" t="s">
        <v>525</v>
      </c>
      <c r="C40" s="205"/>
      <c r="D40" s="206">
        <v>21210</v>
      </c>
      <c r="E40" s="206"/>
      <c r="F40" s="206">
        <f t="shared" si="0"/>
        <v>21320</v>
      </c>
      <c r="G40" s="206"/>
      <c r="H40" s="207" t="s">
        <v>518</v>
      </c>
      <c r="I40" s="34"/>
      <c r="J40" s="35"/>
    </row>
    <row r="41" s="67" customFormat="1" ht="12" customHeight="1" spans="1:10">
      <c r="A41" s="35"/>
      <c r="B41" s="204" t="s">
        <v>526</v>
      </c>
      <c r="C41" s="205"/>
      <c r="D41" s="206">
        <v>21130</v>
      </c>
      <c r="E41" s="206"/>
      <c r="F41" s="206">
        <f t="shared" si="0"/>
        <v>21240</v>
      </c>
      <c r="G41" s="206"/>
      <c r="H41" s="207" t="s">
        <v>518</v>
      </c>
      <c r="I41" s="34"/>
      <c r="J41" s="35"/>
    </row>
    <row r="42" s="67" customFormat="1" ht="12" customHeight="1" spans="1:10">
      <c r="A42" s="35"/>
      <c r="B42" s="204" t="s">
        <v>527</v>
      </c>
      <c r="C42" s="205"/>
      <c r="D42" s="206">
        <v>21270</v>
      </c>
      <c r="E42" s="206"/>
      <c r="F42" s="206">
        <f t="shared" si="0"/>
        <v>21380</v>
      </c>
      <c r="G42" s="206"/>
      <c r="H42" s="207" t="s">
        <v>518</v>
      </c>
      <c r="I42" s="34"/>
      <c r="J42" s="35"/>
    </row>
    <row r="43" ht="12.35" spans="1:10">
      <c r="A43" s="37"/>
      <c r="B43" s="37"/>
      <c r="C43" s="37"/>
      <c r="D43" s="38"/>
      <c r="E43" s="38"/>
      <c r="F43" s="38"/>
      <c r="G43" s="39"/>
      <c r="H43" s="34"/>
      <c r="I43" s="34"/>
      <c r="J43" s="39"/>
    </row>
    <row r="44" s="128" customFormat="1" ht="23.25" spans="1:10">
      <c r="A44" s="34"/>
      <c r="B44" s="34" t="s">
        <v>36</v>
      </c>
      <c r="C44" s="34">
        <v>10</v>
      </c>
      <c r="D44" s="132">
        <f>SUM(D33:D42)</f>
        <v>211790</v>
      </c>
      <c r="E44" s="132" t="s">
        <v>206</v>
      </c>
      <c r="F44" s="132">
        <f>SUM(F33:F43)</f>
        <v>212890</v>
      </c>
      <c r="G44" s="209" t="s">
        <v>206</v>
      </c>
      <c r="H44" s="210" t="s">
        <v>528</v>
      </c>
      <c r="I44" s="133"/>
      <c r="J44" s="34"/>
    </row>
    <row r="45" ht="21.75" customHeight="1" spans="1:10">
      <c r="D45" s="211"/>
      <c r="E45" s="211"/>
      <c r="F45" s="211"/>
      <c r="G45" s="211"/>
    </row>
    <row r="46" spans="1:10">
      <c r="C46" s="42"/>
      <c r="D46" s="212"/>
      <c r="E46" s="212"/>
      <c r="F46" s="212"/>
      <c r="G46" s="212"/>
      <c r="H46" s="212"/>
      <c r="I46" s="212"/>
      <c r="J46" s="212"/>
    </row>
    <row r="48" spans="1:10">
      <c r="D48" s="43" t="s">
        <v>83</v>
      </c>
      <c r="E48" s="43"/>
      <c r="F48" s="43"/>
      <c r="G48" s="43"/>
      <c r="H48" s="211"/>
      <c r="I48" s="211"/>
    </row>
  </sheetData>
  <mergeCells count="44"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A13:B13"/>
    <mergeCell ref="A14:B14"/>
    <mergeCell ref="A15:B15"/>
    <mergeCell ref="A17:B17"/>
    <mergeCell ref="A18:B18"/>
    <mergeCell ref="A19:B19"/>
    <mergeCell ref="A20:B20"/>
    <mergeCell ref="D26:E26"/>
    <mergeCell ref="F26:G26"/>
    <mergeCell ref="A27:J27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A43:B43"/>
    <mergeCell ref="C12:H25"/>
    <mergeCell ref="A2:H6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6"/>
  <sheetViews>
    <sheetView workbookViewId="0">
      <selection activeCell="A23" sqref="A23:E23"/>
    </sheetView>
  </sheetViews>
  <sheetFormatPr defaultColWidth="9" defaultRowHeight="15" customHeight="1" outlineLevelCol="4"/>
  <cols>
    <col min="1" max="1" width="21.625" style="140" customWidth="1"/>
    <col min="2" max="2" width="15.5" style="140" customWidth="1"/>
    <col min="3" max="3" width="11.625" style="140" customWidth="1"/>
    <col min="4" max="4" width="14.125" style="140" customWidth="1"/>
    <col min="5" max="5" width="23.875" style="140" customWidth="1"/>
    <col min="6" max="16384" width="9" style="140"/>
  </cols>
  <sheetData>
    <row r="2" customHeight="1" spans="1:5">
      <c r="A2" s="141" t="s">
        <v>529</v>
      </c>
      <c r="B2" s="141"/>
      <c r="C2" s="141"/>
      <c r="D2" s="141"/>
      <c r="E2" s="141"/>
    </row>
    <row r="3" customHeight="1" spans="1:5">
      <c r="A3" s="141"/>
      <c r="B3" s="141"/>
      <c r="C3" s="141"/>
      <c r="D3" s="141"/>
      <c r="E3" s="141"/>
    </row>
    <row r="4" customHeight="1" spans="1:5">
      <c r="A4" s="141"/>
      <c r="B4" s="141"/>
      <c r="C4" s="141"/>
      <c r="D4" s="141"/>
      <c r="E4" s="141"/>
    </row>
    <row r="5" ht="27.75" customHeight="1" spans="1:5">
      <c r="A5" s="141"/>
      <c r="B5" s="141"/>
      <c r="C5" s="141"/>
      <c r="D5" s="141"/>
      <c r="E5" s="141"/>
    </row>
    <row r="6" hidden="1" customHeight="1" spans="1:5">
      <c r="A6" s="141"/>
      <c r="B6" s="141"/>
      <c r="C6" s="141"/>
      <c r="D6" s="141"/>
      <c r="E6" s="141"/>
    </row>
    <row r="7" hidden="1" customHeight="1" spans="1:5">
      <c r="A7" s="141"/>
      <c r="B7" s="141"/>
      <c r="C7" s="141"/>
      <c r="D7" s="141"/>
      <c r="E7" s="141"/>
    </row>
    <row r="8" hidden="1" customHeight="1" spans="1:5">
      <c r="A8" s="141"/>
      <c r="B8" s="141"/>
      <c r="C8" s="141"/>
      <c r="D8" s="141"/>
      <c r="E8" s="141"/>
    </row>
    <row r="9" customHeight="1" spans="1:5">
      <c r="A9" s="142"/>
      <c r="B9" s="143"/>
      <c r="C9" s="144"/>
      <c r="D9" s="144"/>
      <c r="E9" s="144"/>
    </row>
    <row r="10" customHeight="1" spans="1:5">
      <c r="B10" s="145"/>
      <c r="C10" s="146" t="s">
        <v>530</v>
      </c>
      <c r="D10" s="146"/>
      <c r="E10" s="146"/>
    </row>
    <row r="11" customHeight="1" spans="1:5">
      <c r="B11" s="145"/>
      <c r="C11" s="146" t="s">
        <v>531</v>
      </c>
      <c r="D11" s="146"/>
      <c r="E11" s="146"/>
    </row>
    <row r="12" customHeight="1" spans="1:5">
      <c r="B12" s="145"/>
      <c r="C12" s="146"/>
      <c r="D12" s="146"/>
      <c r="E12" s="146"/>
    </row>
    <row r="13" customHeight="1" spans="1:5">
      <c r="A13" s="147" t="s">
        <v>532</v>
      </c>
      <c r="B13" s="148"/>
      <c r="C13" s="146" t="s">
        <v>533</v>
      </c>
      <c r="D13" s="146"/>
      <c r="E13" s="146"/>
    </row>
    <row r="14" customHeight="1" spans="1:5">
      <c r="A14" s="149" t="s">
        <v>534</v>
      </c>
      <c r="B14" s="150"/>
      <c r="C14" s="151" t="s">
        <v>535</v>
      </c>
      <c r="D14" s="152"/>
      <c r="E14" s="152"/>
    </row>
    <row r="15" customHeight="1" spans="1:5">
      <c r="A15" s="149" t="s">
        <v>536</v>
      </c>
      <c r="B15" s="150"/>
      <c r="C15" s="151" t="s">
        <v>537</v>
      </c>
      <c r="D15" s="152"/>
      <c r="E15" s="152"/>
    </row>
    <row r="16" customHeight="1" spans="1:5">
      <c r="A16" s="149" t="s">
        <v>538</v>
      </c>
      <c r="B16" s="150"/>
      <c r="C16" s="151" t="s">
        <v>539</v>
      </c>
      <c r="D16" s="152"/>
      <c r="E16" s="152"/>
    </row>
    <row r="17" customHeight="1" spans="1:5">
      <c r="A17" s="149"/>
      <c r="B17" s="150"/>
      <c r="C17" s="153" t="s">
        <v>540</v>
      </c>
      <c r="D17" s="154"/>
      <c r="E17" s="154"/>
    </row>
    <row r="18" customHeight="1" spans="1:5">
      <c r="A18" s="149"/>
      <c r="B18" s="150"/>
      <c r="C18" s="146"/>
      <c r="D18" s="146" t="s">
        <v>541</v>
      </c>
      <c r="E18" s="146"/>
    </row>
    <row r="19" customHeight="1" spans="1:5">
      <c r="A19" s="155"/>
      <c r="B19" s="156"/>
      <c r="C19" s="146"/>
      <c r="D19" s="157" t="s">
        <v>542</v>
      </c>
      <c r="E19" s="158"/>
    </row>
    <row r="20" customHeight="1" spans="1:5">
      <c r="A20" s="159"/>
      <c r="B20" s="148"/>
      <c r="C20" s="146"/>
      <c r="D20" s="146"/>
      <c r="E20" s="146"/>
    </row>
    <row r="21" customHeight="1" spans="1:5">
      <c r="A21" s="160" t="s">
        <v>543</v>
      </c>
      <c r="B21" s="161"/>
      <c r="C21" s="162" t="s">
        <v>544</v>
      </c>
      <c r="D21" s="162" t="s">
        <v>545</v>
      </c>
      <c r="E21" s="163" t="s">
        <v>546</v>
      </c>
    </row>
    <row r="22" customHeight="1" spans="1:5">
      <c r="A22" s="164"/>
      <c r="B22" s="165"/>
      <c r="C22" s="165" t="s">
        <v>29</v>
      </c>
      <c r="D22" s="165" t="s">
        <v>30</v>
      </c>
      <c r="E22" s="166" t="s">
        <v>31</v>
      </c>
    </row>
    <row r="23" customHeight="1" spans="1:5">
      <c r="A23" s="164"/>
      <c r="B23" s="164"/>
      <c r="C23" s="164"/>
      <c r="D23" s="164"/>
      <c r="E23" s="164"/>
    </row>
    <row r="24" customHeight="1" spans="1:5">
      <c r="A24" s="167" t="s">
        <v>547</v>
      </c>
      <c r="B24" s="167"/>
      <c r="C24" s="168">
        <v>296.28</v>
      </c>
      <c r="D24" s="169">
        <v>5</v>
      </c>
      <c r="E24" s="170">
        <f>C24*D24</f>
        <v>1481.4</v>
      </c>
    </row>
    <row r="25" customHeight="1" spans="1:5">
      <c r="A25" s="167"/>
      <c r="B25" s="167"/>
      <c r="C25" s="168"/>
      <c r="D25" s="169"/>
      <c r="E25" s="171"/>
    </row>
    <row r="26" customHeight="1" spans="1:5">
      <c r="A26" s="167"/>
      <c r="B26" s="167"/>
      <c r="C26" s="168"/>
      <c r="D26" s="169"/>
      <c r="E26" s="171"/>
    </row>
    <row r="27" customHeight="1" spans="1:5">
      <c r="A27" s="167"/>
      <c r="B27" s="167"/>
      <c r="C27" s="168"/>
      <c r="D27" s="169"/>
      <c r="E27" s="171"/>
    </row>
    <row r="28" customHeight="1" spans="1:5">
      <c r="A28" s="172" t="s">
        <v>548</v>
      </c>
      <c r="B28" s="172"/>
      <c r="C28" s="173"/>
      <c r="D28" s="174"/>
      <c r="E28" s="175"/>
    </row>
    <row r="29" customHeight="1" spans="1:5">
      <c r="A29" s="176" t="s">
        <v>549</v>
      </c>
      <c r="B29" s="176"/>
      <c r="D29" s="177"/>
      <c r="E29" s="178"/>
    </row>
    <row r="30" customHeight="1" spans="1:5">
      <c r="A30" s="179"/>
      <c r="B30" s="180"/>
      <c r="C30" s="181"/>
      <c r="D30" s="182"/>
      <c r="E30" s="178"/>
    </row>
    <row r="31" customHeight="1" spans="1:5">
      <c r="A31" s="179"/>
      <c r="B31" s="180"/>
      <c r="C31" s="181"/>
      <c r="D31" s="182"/>
      <c r="E31" s="178"/>
    </row>
    <row r="32" customHeight="1" spans="1:5">
      <c r="A32" s="183"/>
      <c r="B32" s="184"/>
      <c r="C32" s="185"/>
      <c r="D32" s="186"/>
      <c r="E32" s="187"/>
    </row>
    <row r="33" customHeight="1" spans="1:5">
      <c r="A33" s="188"/>
      <c r="B33" s="189"/>
      <c r="C33" s="190"/>
      <c r="D33" s="191"/>
      <c r="E33" s="191"/>
    </row>
    <row r="34" customHeight="1" spans="1:5">
      <c r="A34" s="192"/>
      <c r="B34" s="192"/>
      <c r="C34" s="192"/>
      <c r="D34" s="192"/>
      <c r="E34" s="192"/>
    </row>
    <row r="35" customHeight="1" spans="1:5">
      <c r="D35" s="191"/>
      <c r="E35" s="191"/>
    </row>
    <row r="36" customHeight="1" spans="1:5">
      <c r="D36" s="191"/>
      <c r="E36" s="191"/>
    </row>
    <row r="37" customHeight="1" spans="1:5">
      <c r="B37" s="168"/>
      <c r="C37" s="169"/>
      <c r="D37" s="186"/>
      <c r="E37" s="186"/>
    </row>
    <row r="38" customHeight="1" spans="1:5">
      <c r="B38" s="168"/>
      <c r="C38" s="169"/>
      <c r="D38" s="186"/>
      <c r="E38" s="186"/>
    </row>
    <row r="39" customHeight="1" spans="1:5">
      <c r="A39" s="169"/>
      <c r="B39" s="169"/>
      <c r="C39" s="193"/>
      <c r="D39" s="194"/>
      <c r="E39" s="186"/>
    </row>
    <row r="40" customHeight="1" spans="1:5">
      <c r="A40" s="167"/>
      <c r="B40" s="167"/>
      <c r="C40" s="165"/>
      <c r="D40" s="169"/>
      <c r="E40" s="171"/>
    </row>
    <row r="41" customHeight="1" spans="1:5">
      <c r="A41" s="195"/>
      <c r="B41" s="195"/>
      <c r="C41" s="195"/>
      <c r="D41" s="196"/>
      <c r="E41" s="197"/>
    </row>
    <row r="42" customHeight="1" spans="1:5">
      <c r="A42" s="169"/>
      <c r="B42" s="165"/>
      <c r="C42" s="165"/>
      <c r="D42" s="165"/>
      <c r="E42" s="198"/>
    </row>
    <row r="46" customHeight="1" spans="1:5">
      <c r="D46" s="199" t="s">
        <v>47</v>
      </c>
    </row>
  </sheetData>
  <mergeCells count="14">
    <mergeCell ref="A9:B9"/>
    <mergeCell ref="C9:E9"/>
    <mergeCell ref="C10:E10"/>
    <mergeCell ref="A13:B13"/>
    <mergeCell ref="A15:B15"/>
    <mergeCell ref="C17:E17"/>
    <mergeCell ref="A20:B20"/>
    <mergeCell ref="A23:E23"/>
    <mergeCell ref="A24:B24"/>
    <mergeCell ref="A29:B29"/>
    <mergeCell ref="A34:E34"/>
    <mergeCell ref="A40:B40"/>
    <mergeCell ref="A41:B41"/>
    <mergeCell ref="A2:E8"/>
  </mergeCells>
  <printOptions horizontalCentered="1"/>
  <pageMargins left="0.393700787401575" right="0.393700787401575" top="0.78740157480315" bottom="0.984251968503937" header="0.511811023622047" footer="0.511811023622047"/>
  <pageSetup paperSize="9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7"/>
  <sheetViews>
    <sheetView topLeftCell="A4" workbookViewId="0">
      <selection activeCell="A23" sqref="A17:E28"/>
    </sheetView>
  </sheetViews>
  <sheetFormatPr defaultColWidth="9" defaultRowHeight="15.75" outlineLevelCol="5"/>
  <cols>
    <col min="1" max="1" width="19.5" customWidth="1"/>
    <col min="2" max="2" width="26.125" customWidth="1"/>
    <col min="3" max="3" width="13.75" customWidth="1"/>
    <col min="4" max="4" width="14.125" customWidth="1"/>
    <col min="5" max="5" width="15.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/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5" customHeight="1" spans="1:6">
      <c r="A12" s="13" t="s">
        <v>3</v>
      </c>
      <c r="B12" s="14"/>
      <c r="C12" s="58" t="s">
        <v>550</v>
      </c>
      <c r="D12" s="59"/>
      <c r="E12" s="59"/>
      <c r="F12" s="56"/>
    </row>
    <row r="13" ht="14.25" customHeight="1" spans="1:6">
      <c r="A13" s="13" t="s">
        <v>551</v>
      </c>
      <c r="B13" s="14"/>
      <c r="C13" s="6" t="s">
        <v>5</v>
      </c>
      <c r="D13" s="5"/>
      <c r="E13" s="5"/>
    </row>
    <row r="14" ht="15" customHeight="1" spans="1:6">
      <c r="A14" s="7" t="s">
        <v>6</v>
      </c>
      <c r="B14" s="8"/>
      <c r="C14" s="9"/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 t="s">
        <v>552</v>
      </c>
      <c r="D16" s="59"/>
      <c r="E16" s="59"/>
    </row>
    <row r="17" ht="14.25" customHeight="1" spans="1:5">
      <c r="A17" s="7" t="s">
        <v>553</v>
      </c>
      <c r="B17" s="8"/>
      <c r="C17" s="61" t="s">
        <v>57</v>
      </c>
      <c r="D17" s="62"/>
      <c r="E17" s="62"/>
    </row>
    <row r="18" ht="14.25" customHeight="1" spans="1:5">
      <c r="A18" s="7" t="s">
        <v>554</v>
      </c>
      <c r="B18" s="8"/>
      <c r="C18" s="63"/>
      <c r="D18" s="13"/>
      <c r="E18" s="13"/>
    </row>
    <row r="19" ht="14.25" customHeight="1" spans="1:5">
      <c r="A19" s="7"/>
      <c r="B19" s="8"/>
      <c r="C19" s="63"/>
      <c r="D19" s="13"/>
      <c r="E19" s="13"/>
    </row>
    <row r="20" ht="14.2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7" t="s">
        <v>555</v>
      </c>
      <c r="B21" s="8"/>
      <c r="C21" s="63"/>
      <c r="D21" s="13"/>
      <c r="E21" s="13"/>
    </row>
    <row r="22" ht="14.25" customHeight="1" spans="1:5">
      <c r="A22" s="7"/>
      <c r="B22" s="8"/>
      <c r="C22" s="63"/>
      <c r="D22" s="13"/>
      <c r="E22" s="13"/>
    </row>
    <row r="23" ht="14.25" customHeight="1" spans="1:5">
      <c r="A23" s="7"/>
      <c r="B23" s="8"/>
      <c r="C23" s="63"/>
      <c r="D23" s="13"/>
      <c r="E23" s="13"/>
    </row>
    <row r="24" ht="14.25" customHeight="1" spans="1:5">
      <c r="A24" s="13"/>
      <c r="B24" s="14"/>
      <c r="C24" s="63"/>
      <c r="D24" s="13"/>
      <c r="E24" s="13"/>
    </row>
    <row r="25" spans="1:5">
      <c r="A25" s="10" t="s">
        <v>17</v>
      </c>
      <c r="B25" s="18" t="s">
        <v>18</v>
      </c>
      <c r="C25" s="63"/>
      <c r="D25" s="13"/>
      <c r="E25" s="13"/>
    </row>
    <row r="26" ht="13.5" customHeight="1" spans="1:5">
      <c r="A26" s="19" t="s">
        <v>556</v>
      </c>
      <c r="B26" s="19" t="s">
        <v>557</v>
      </c>
      <c r="C26" s="63"/>
      <c r="D26" s="13"/>
      <c r="E26" s="13"/>
    </row>
    <row r="27" ht="16.5" customHeight="1" spans="1:5">
      <c r="A27" s="10" t="s">
        <v>21</v>
      </c>
      <c r="B27" s="18" t="s">
        <v>22</v>
      </c>
      <c r="C27" s="63"/>
      <c r="D27" s="13"/>
      <c r="E27" s="13"/>
    </row>
    <row r="28" spans="1:5">
      <c r="A28" s="21" t="s">
        <v>558</v>
      </c>
      <c r="B28" s="22" t="s">
        <v>559</v>
      </c>
      <c r="C28" s="58"/>
      <c r="D28" s="59"/>
      <c r="E28" s="59"/>
    </row>
    <row r="29" spans="1:5">
      <c r="A29" s="23" t="s">
        <v>24</v>
      </c>
      <c r="B29" s="24" t="s">
        <v>25</v>
      </c>
      <c r="C29" s="25" t="s">
        <v>26</v>
      </c>
      <c r="D29" s="25" t="s">
        <v>27</v>
      </c>
      <c r="E29" s="28" t="s">
        <v>560</v>
      </c>
    </row>
    <row r="30" ht="12" customHeight="1" spans="1:5">
      <c r="A30" s="29"/>
      <c r="B30" s="36"/>
      <c r="C30" s="36" t="s">
        <v>206</v>
      </c>
      <c r="D30" s="36" t="s">
        <v>235</v>
      </c>
      <c r="E30" s="64" t="s">
        <v>31</v>
      </c>
    </row>
    <row r="31" ht="6" customHeight="1" spans="1:5">
      <c r="A31" s="29"/>
      <c r="B31" s="29"/>
      <c r="C31" s="29"/>
      <c r="D31" s="29"/>
      <c r="E31" s="29"/>
    </row>
    <row r="32" ht="11.25" customHeight="1" spans="1:5">
      <c r="A32" s="29"/>
      <c r="B32" s="29"/>
      <c r="C32" s="29" t="s">
        <v>291</v>
      </c>
      <c r="D32" s="30" t="s">
        <v>561</v>
      </c>
      <c r="E32" s="30"/>
    </row>
    <row r="33" ht="15" customHeight="1" spans="1:5">
      <c r="A33" s="35" t="s">
        <v>32</v>
      </c>
      <c r="B33" s="135" t="s">
        <v>562</v>
      </c>
      <c r="C33" s="31">
        <v>80</v>
      </c>
      <c r="D33" s="65">
        <v>30</v>
      </c>
      <c r="E33" s="66">
        <f>C33*D33</f>
        <v>2400</v>
      </c>
    </row>
    <row r="34" ht="15" customHeight="1" spans="1:5">
      <c r="A34" s="35"/>
      <c r="B34" s="135"/>
      <c r="C34" s="31"/>
      <c r="D34" s="65"/>
      <c r="E34" s="66"/>
    </row>
    <row r="35" ht="39.75" customHeight="1" spans="1:5">
      <c r="A35" s="35"/>
      <c r="B35" s="135"/>
      <c r="C35" s="31"/>
      <c r="D35" s="65"/>
      <c r="E35" s="66"/>
    </row>
    <row r="36" ht="15" customHeight="1" spans="1:5">
      <c r="A36" s="35"/>
      <c r="B36" s="136"/>
      <c r="C36" s="31"/>
      <c r="D36" s="65"/>
      <c r="E36" s="66"/>
    </row>
    <row r="37" ht="12.75" customHeight="1" spans="1:5">
      <c r="A37" s="35"/>
      <c r="B37" s="136"/>
      <c r="C37" s="31"/>
      <c r="D37" s="65"/>
      <c r="E37" s="66"/>
    </row>
    <row r="38" ht="10.5" customHeight="1" spans="1:5">
      <c r="A38" s="34"/>
      <c r="B38" s="30"/>
      <c r="C38" s="30"/>
      <c r="D38" s="65"/>
      <c r="E38" s="66"/>
    </row>
    <row r="39" ht="15" customHeight="1" spans="1:5">
      <c r="A39" s="34"/>
      <c r="B39" s="136"/>
      <c r="C39" s="31"/>
      <c r="D39" s="65"/>
      <c r="E39" s="66"/>
    </row>
    <row r="40" ht="15" customHeight="1" spans="1:5">
      <c r="A40" s="30"/>
      <c r="B40" s="30"/>
      <c r="C40" s="36"/>
      <c r="D40" s="35"/>
      <c r="E40" s="35"/>
    </row>
    <row r="41" ht="15" customHeight="1" spans="1:5">
      <c r="A41" s="37"/>
      <c r="B41" s="37"/>
      <c r="C41" s="37"/>
      <c r="D41" s="38"/>
      <c r="E41" s="38"/>
    </row>
    <row r="42" ht="15" customHeight="1" spans="1:5">
      <c r="A42" s="35"/>
      <c r="B42" s="36" t="s">
        <v>36</v>
      </c>
      <c r="C42" s="36">
        <v>80</v>
      </c>
      <c r="D42" s="68">
        <v>30</v>
      </c>
      <c r="E42" s="78">
        <f>C42*D42</f>
        <v>2400</v>
      </c>
    </row>
    <row r="43" ht="21.75" customHeight="1" spans="1:5">
      <c r="A43" s="35"/>
      <c r="B43" s="36"/>
      <c r="C43" s="36"/>
      <c r="D43" s="36"/>
      <c r="E43" s="35"/>
    </row>
    <row r="47" spans="1:5">
      <c r="D47" s="55" t="s">
        <v>47</v>
      </c>
    </row>
  </sheetData>
  <mergeCells count="25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1:E31"/>
    <mergeCell ref="D32:E32"/>
    <mergeCell ref="B38:C38"/>
    <mergeCell ref="A40:B40"/>
    <mergeCell ref="A41:B41"/>
    <mergeCell ref="A2:E9"/>
    <mergeCell ref="C17:E28"/>
  </mergeCells>
  <printOptions horizontalCentered="1"/>
  <pageMargins left="0.275590551181102" right="0.393700787401575" top="0.984251968503937" bottom="0.984251968503937" header="0.511811023622047" footer="0.511811023622047"/>
  <pageSetup paperSize="9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2"/>
  <sheetViews>
    <sheetView workbookViewId="0">
      <selection activeCell="E25" sqref="E25"/>
    </sheetView>
  </sheetViews>
  <sheetFormatPr defaultColWidth="9" defaultRowHeight="11.6" outlineLevelCol="6"/>
  <cols>
    <col min="1" max="1" width="19.12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7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550</v>
      </c>
      <c r="D8" s="7"/>
      <c r="E8" s="7"/>
      <c r="F8" s="7"/>
    </row>
    <row r="9" customFormat="1" ht="15" customHeight="1" spans="1:7">
      <c r="A9" s="13" t="s">
        <v>551</v>
      </c>
      <c r="B9" s="14"/>
      <c r="C9" s="9"/>
      <c r="D9" s="7"/>
      <c r="E9" s="7"/>
      <c r="F9" s="7"/>
    </row>
    <row r="10" customFormat="1" ht="15" customHeight="1" spans="1:7">
      <c r="A10" s="7" t="s">
        <v>6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138"/>
      <c r="D12" s="5"/>
      <c r="E12" s="5"/>
      <c r="F12" s="5"/>
    </row>
    <row r="13" customFormat="1" ht="14.25" customHeight="1" spans="1:7">
      <c r="A13" s="7" t="s">
        <v>553</v>
      </c>
      <c r="B13" s="8"/>
      <c r="C13" s="15"/>
      <c r="D13" s="16"/>
      <c r="E13" s="16"/>
      <c r="F13" s="16"/>
    </row>
    <row r="14" customFormat="1" ht="14.25" customHeight="1" spans="1:7">
      <c r="A14" s="7" t="s">
        <v>554</v>
      </c>
      <c r="B14" s="8"/>
      <c r="C14" s="15"/>
      <c r="D14" s="16"/>
      <c r="E14" s="16"/>
      <c r="F14" s="16"/>
    </row>
    <row r="15" customFormat="1" ht="14.25" customHeight="1" spans="1:7">
      <c r="A15" s="7"/>
      <c r="B15" s="8"/>
      <c r="C15" s="15"/>
      <c r="D15" s="16"/>
      <c r="E15" s="16"/>
      <c r="F15" s="16"/>
    </row>
    <row r="16" customFormat="1" ht="12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7" t="s">
        <v>555</v>
      </c>
      <c r="B17" s="8"/>
      <c r="C17" s="15"/>
      <c r="D17" s="16"/>
      <c r="E17" s="16"/>
      <c r="F17" s="16"/>
    </row>
    <row r="18" customFormat="1" ht="14.25" customHeight="1" spans="1:7">
      <c r="A18" s="7"/>
      <c r="B18" s="8"/>
      <c r="C18" s="15"/>
      <c r="D18" s="16"/>
      <c r="E18" s="16"/>
      <c r="F18" s="16"/>
    </row>
    <row r="19" customFormat="1" ht="14.25" customHeight="1" spans="1:7">
      <c r="A19" s="7"/>
      <c r="B19" s="8"/>
      <c r="C19" s="15"/>
      <c r="D19" s="16"/>
      <c r="E19" s="16"/>
      <c r="F19" s="16"/>
    </row>
    <row r="20" customFormat="1" ht="14.25" customHeight="1" spans="1:7">
      <c r="A20" s="13"/>
      <c r="B20" s="14"/>
      <c r="C20" s="15"/>
      <c r="D20" s="16"/>
      <c r="E20" s="16"/>
      <c r="F20" s="16"/>
    </row>
    <row r="21" customFormat="1" ht="15.75" spans="1:7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7">
      <c r="A22" s="19" t="s">
        <v>556</v>
      </c>
      <c r="B22" s="19" t="s">
        <v>557</v>
      </c>
      <c r="C22" s="15"/>
      <c r="D22" s="16"/>
      <c r="E22" s="16"/>
      <c r="F22" s="16"/>
    </row>
    <row r="23" customFormat="1" ht="16.5" customHeight="1" spans="1:7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7">
      <c r="A24" s="21" t="s">
        <v>558</v>
      </c>
      <c r="B24" s="22" t="s">
        <v>559</v>
      </c>
      <c r="C24" s="15"/>
      <c r="D24" s="16"/>
      <c r="E24" s="16"/>
      <c r="F24" s="16"/>
    </row>
    <row r="25" customFormat="1" ht="20.25" spans="1:7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7">
      <c r="A26" s="29"/>
      <c r="B26" s="29"/>
      <c r="C26" s="29"/>
      <c r="D26" s="29"/>
      <c r="E26" s="29"/>
      <c r="F26" s="29"/>
      <c r="G26" s="29"/>
    </row>
    <row r="27" ht="12" customHeight="1" spans="1:7">
      <c r="A27" s="30"/>
      <c r="B27" s="135" t="s">
        <v>562</v>
      </c>
      <c r="C27" s="31">
        <v>4</v>
      </c>
      <c r="D27" s="32" t="s">
        <v>563</v>
      </c>
      <c r="E27" s="32" t="s">
        <v>564</v>
      </c>
      <c r="F27" s="33"/>
      <c r="G27" s="31"/>
    </row>
    <row r="28" ht="12" customHeight="1" spans="1:7">
      <c r="A28" s="34"/>
      <c r="B28" s="67"/>
      <c r="C28" s="31"/>
      <c r="D28" s="32"/>
      <c r="E28" s="32"/>
      <c r="F28" s="33"/>
      <c r="G28" s="31"/>
    </row>
    <row r="29" spans="1:7">
      <c r="A29" s="35"/>
      <c r="B29" s="30"/>
      <c r="C29" s="36"/>
      <c r="D29" s="35"/>
      <c r="E29" s="35"/>
      <c r="F29" s="35"/>
      <c r="G29" s="35"/>
    </row>
    <row r="30" s="67" customFormat="1" ht="11.25" spans="1:7">
      <c r="A30" s="35"/>
      <c r="B30" s="35"/>
      <c r="C30" s="35"/>
      <c r="D30" s="35"/>
      <c r="E30" s="35"/>
      <c r="F30" s="35"/>
      <c r="G30" s="35"/>
    </row>
    <row r="31" s="67" customFormat="1" ht="10.5" customHeight="1" spans="1:7">
      <c r="A31" s="35"/>
      <c r="B31" s="35"/>
      <c r="C31" s="35"/>
      <c r="D31" s="129"/>
      <c r="E31" s="35"/>
      <c r="F31" s="35"/>
      <c r="G31" s="35"/>
    </row>
    <row r="32" s="67" customFormat="1" ht="12" customHeight="1" spans="1:7">
      <c r="A32" s="35"/>
      <c r="B32" s="35"/>
      <c r="C32" s="34"/>
      <c r="D32" s="130"/>
      <c r="E32" s="130"/>
      <c r="F32" s="34"/>
      <c r="G32" s="35"/>
    </row>
    <row r="33" s="67" customFormat="1" ht="12" customHeight="1" spans="1:7">
      <c r="A33" s="35"/>
      <c r="B33" s="35"/>
      <c r="C33" s="34"/>
      <c r="D33" s="130"/>
      <c r="E33" s="130"/>
      <c r="F33" s="34"/>
      <c r="G33" s="35"/>
    </row>
    <row r="34" s="67" customFormat="1" ht="12" customHeight="1" spans="1:7">
      <c r="A34" s="35"/>
      <c r="B34" s="35"/>
      <c r="C34" s="34"/>
      <c r="D34" s="130"/>
      <c r="E34" s="130"/>
      <c r="F34" s="34"/>
      <c r="G34" s="35"/>
    </row>
    <row r="35" s="67" customFormat="1" ht="11.25" spans="1:7">
      <c r="A35" s="35"/>
      <c r="B35" s="35"/>
      <c r="C35" s="34"/>
      <c r="D35" s="130"/>
      <c r="E35" s="130"/>
      <c r="F35" s="34"/>
      <c r="G35" s="35"/>
    </row>
    <row r="36" s="67" customFormat="1" ht="11.25" spans="1:7">
      <c r="D36" s="130"/>
      <c r="E36" s="130"/>
      <c r="F36" s="34"/>
    </row>
    <row r="37" ht="12.35" spans="1:7">
      <c r="A37" s="37"/>
      <c r="B37" s="37"/>
      <c r="C37" s="37"/>
      <c r="D37" s="38"/>
      <c r="E37" s="137"/>
      <c r="F37" s="38"/>
      <c r="G37" s="39"/>
    </row>
    <row r="38" s="128" customFormat="1" ht="12.35" spans="1:7">
      <c r="A38" s="34"/>
      <c r="B38" s="34" t="s">
        <v>36</v>
      </c>
      <c r="C38" s="31">
        <v>4</v>
      </c>
      <c r="D38" s="32" t="s">
        <v>563</v>
      </c>
      <c r="E38" s="32" t="s">
        <v>564</v>
      </c>
      <c r="F38" s="133"/>
      <c r="G38" s="34"/>
    </row>
    <row r="39" s="128" customFormat="1" spans="1:7">
      <c r="A39" s="34"/>
      <c r="B39" s="34"/>
      <c r="C39" s="34"/>
      <c r="D39" s="132"/>
      <c r="E39" s="132"/>
      <c r="F39" s="133"/>
      <c r="G39" s="34"/>
    </row>
    <row r="41" spans="1:7">
      <c r="D41" s="43" t="s">
        <v>83</v>
      </c>
      <c r="E41" s="43"/>
    </row>
    <row r="42" spans="1:7">
      <c r="C42" s="67"/>
      <c r="E42" s="139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6:G26"/>
    <mergeCell ref="A37:B37"/>
    <mergeCell ref="A2:F6"/>
    <mergeCell ref="C12:F24"/>
  </mergeCells>
  <printOptions horizontalCentered="1"/>
  <pageMargins left="0.275590551181102" right="0.393700787401575" top="0.984251968503937" bottom="0.984251968503937" header="0.511811023622047" footer="0.511811023622047"/>
  <pageSetup paperSize="9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6"/>
  <sheetViews>
    <sheetView topLeftCell="A25" workbookViewId="0">
      <selection activeCell="A23" sqref="A17:E27"/>
    </sheetView>
  </sheetViews>
  <sheetFormatPr defaultColWidth="9" defaultRowHeight="15.75" outlineLevelCol="6"/>
  <cols>
    <col min="1" max="1" width="19.5" customWidth="1"/>
    <col min="2" max="2" width="23.375" customWidth="1"/>
    <col min="3" max="3" width="13.75" customWidth="1"/>
    <col min="4" max="4" width="14.125" customWidth="1"/>
    <col min="5" max="5" width="15.5" customWidth="1"/>
    <col min="7" max="7" width="12.7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 t="s">
        <v>565</v>
      </c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2" customHeight="1" spans="1:6">
      <c r="A12" s="13" t="s">
        <v>3</v>
      </c>
      <c r="B12" s="14"/>
      <c r="C12" s="58" t="s">
        <v>566</v>
      </c>
      <c r="D12" s="59"/>
      <c r="E12" s="59"/>
      <c r="F12" s="56"/>
    </row>
    <row r="13" ht="14.25" customHeight="1" spans="1:6">
      <c r="A13" s="13" t="s">
        <v>567</v>
      </c>
      <c r="B13" s="14"/>
      <c r="C13" s="6" t="s">
        <v>5</v>
      </c>
      <c r="D13" s="5"/>
      <c r="E13" s="5"/>
    </row>
    <row r="14" ht="15" customHeight="1" spans="1:6">
      <c r="A14" s="7" t="s">
        <v>568</v>
      </c>
      <c r="B14" s="8"/>
      <c r="C14" s="9"/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/>
      <c r="D16" s="59"/>
      <c r="E16" s="59"/>
    </row>
    <row r="17" ht="14.25" customHeight="1" spans="1:7">
      <c r="A17" s="7" t="s">
        <v>569</v>
      </c>
      <c r="B17" s="8"/>
      <c r="C17" s="61" t="s">
        <v>57</v>
      </c>
      <c r="D17" s="62"/>
      <c r="E17" s="62"/>
    </row>
    <row r="18" ht="14.25" customHeight="1" spans="1:7">
      <c r="A18" s="7" t="s">
        <v>570</v>
      </c>
      <c r="B18" s="8"/>
      <c r="C18" s="63"/>
      <c r="D18" s="13"/>
      <c r="E18" s="13"/>
    </row>
    <row r="19" ht="14.25" customHeight="1" spans="1:7">
      <c r="A19" s="7"/>
      <c r="B19" s="8"/>
      <c r="C19" s="63"/>
      <c r="D19" s="13"/>
      <c r="E19" s="13"/>
    </row>
    <row r="20" ht="19.5" customHeight="1" spans="1:7">
      <c r="A20" s="5" t="s">
        <v>15</v>
      </c>
      <c r="B20" s="10"/>
      <c r="C20" s="63"/>
      <c r="D20" s="13"/>
      <c r="E20" s="13"/>
    </row>
    <row r="21" ht="14.25" customHeight="1" spans="1:7">
      <c r="A21" s="13" t="s">
        <v>571</v>
      </c>
      <c r="B21" s="14"/>
      <c r="C21" s="63"/>
      <c r="D21" s="13"/>
      <c r="E21" s="13"/>
    </row>
    <row r="22" ht="14.25" customHeight="1" spans="1:7">
      <c r="A22" s="13"/>
      <c r="B22" s="14"/>
      <c r="C22" s="63"/>
      <c r="D22" s="13"/>
      <c r="E22" s="13"/>
    </row>
    <row r="23" ht="14.25" customHeight="1" spans="1:7">
      <c r="A23" s="7"/>
      <c r="B23" s="8"/>
      <c r="C23" s="63"/>
      <c r="D23" s="13"/>
      <c r="E23" s="13"/>
    </row>
    <row r="24" spans="1:7">
      <c r="A24" s="10" t="s">
        <v>17</v>
      </c>
      <c r="B24" s="18" t="s">
        <v>18</v>
      </c>
      <c r="C24" s="63"/>
      <c r="D24" s="13"/>
      <c r="E24" s="13"/>
    </row>
    <row r="25" ht="13.5" customHeight="1" spans="1:7">
      <c r="A25" s="19" t="s">
        <v>182</v>
      </c>
      <c r="B25" s="19" t="s">
        <v>572</v>
      </c>
      <c r="C25" s="63"/>
      <c r="D25" s="13"/>
      <c r="E25" s="13"/>
    </row>
    <row r="26" ht="16.5" customHeight="1" spans="1:7">
      <c r="A26" s="10" t="s">
        <v>21</v>
      </c>
      <c r="B26" s="18" t="s">
        <v>22</v>
      </c>
      <c r="C26" s="63"/>
      <c r="D26" s="13"/>
      <c r="E26" s="13"/>
    </row>
    <row r="27" spans="1:7">
      <c r="A27" s="21"/>
      <c r="B27" s="22" t="s">
        <v>573</v>
      </c>
      <c r="C27" s="58"/>
      <c r="D27" s="59"/>
      <c r="E27" s="59"/>
      <c r="G27">
        <v>18669788735</v>
      </c>
    </row>
    <row r="28" spans="1:7">
      <c r="A28" s="23" t="s">
        <v>24</v>
      </c>
      <c r="B28" s="24" t="s">
        <v>25</v>
      </c>
      <c r="C28" s="25" t="s">
        <v>26</v>
      </c>
      <c r="D28" s="25" t="s">
        <v>27</v>
      </c>
      <c r="E28" s="28" t="s">
        <v>28</v>
      </c>
    </row>
    <row r="29" ht="12" customHeight="1" spans="1:7">
      <c r="A29" s="29"/>
      <c r="B29" s="36"/>
      <c r="C29" s="36" t="s">
        <v>206</v>
      </c>
      <c r="D29" s="36" t="s">
        <v>30</v>
      </c>
      <c r="E29" s="64" t="s">
        <v>31</v>
      </c>
    </row>
    <row r="30" ht="6" customHeight="1" spans="1:7">
      <c r="A30" s="29"/>
      <c r="B30" s="29"/>
      <c r="C30" s="29"/>
      <c r="D30" s="29"/>
      <c r="E30" s="29"/>
    </row>
    <row r="31" ht="11.25" customHeight="1" spans="1:7">
      <c r="A31" s="29"/>
      <c r="B31" s="29"/>
      <c r="C31" s="29"/>
      <c r="D31" s="30" t="s">
        <v>574</v>
      </c>
      <c r="E31" s="30"/>
    </row>
    <row r="32" ht="15" customHeight="1" spans="1:7">
      <c r="A32" s="35" t="s">
        <v>32</v>
      </c>
      <c r="B32" s="135" t="s">
        <v>449</v>
      </c>
      <c r="C32" s="31">
        <v>1</v>
      </c>
      <c r="D32" s="65">
        <v>1</v>
      </c>
      <c r="E32" s="66">
        <f>C32*D32</f>
        <v>1</v>
      </c>
    </row>
    <row r="33" ht="15" customHeight="1" spans="1:5">
      <c r="A33" s="35"/>
      <c r="B33" s="135" t="s">
        <v>575</v>
      </c>
      <c r="C33" s="31"/>
      <c r="D33" s="65"/>
      <c r="E33" s="66"/>
    </row>
    <row r="34" ht="15" customHeight="1" spans="1:5">
      <c r="A34" s="34"/>
      <c r="B34" s="136"/>
      <c r="C34" s="31"/>
      <c r="D34" s="65"/>
      <c r="E34" s="66"/>
    </row>
    <row r="35" ht="15" customHeight="1" spans="1:5">
      <c r="A35" s="34"/>
      <c r="B35" s="135"/>
      <c r="C35" s="31"/>
      <c r="D35" s="65"/>
      <c r="E35" s="66"/>
    </row>
    <row r="36" ht="15" customHeight="1" spans="1:5">
      <c r="A36" s="34"/>
      <c r="B36" s="135"/>
      <c r="C36" s="31"/>
      <c r="D36" s="52"/>
      <c r="E36" s="31"/>
    </row>
    <row r="37" ht="15" customHeight="1" spans="1:5">
      <c r="A37" s="34"/>
      <c r="B37" s="34"/>
      <c r="C37" s="31"/>
      <c r="D37" s="52"/>
      <c r="E37" s="31"/>
    </row>
    <row r="38" ht="15" customHeight="1" spans="1:5">
      <c r="A38" s="30" t="s">
        <v>35</v>
      </c>
      <c r="B38" s="30"/>
      <c r="C38" s="36"/>
      <c r="D38" s="35"/>
      <c r="E38" s="35"/>
    </row>
    <row r="39" ht="15" customHeight="1" spans="1:5">
      <c r="A39" s="37"/>
      <c r="B39" s="37"/>
      <c r="C39" s="37"/>
      <c r="D39" s="38"/>
      <c r="E39" s="38"/>
    </row>
    <row r="40" ht="15" customHeight="1" spans="1:5">
      <c r="A40" s="35"/>
      <c r="B40" s="36" t="s">
        <v>36</v>
      </c>
      <c r="C40" s="36">
        <f>SUM(C32:C39)</f>
        <v>1</v>
      </c>
      <c r="D40" s="36"/>
      <c r="E40" s="68">
        <f>SUM(E32:E39)</f>
        <v>1</v>
      </c>
    </row>
    <row r="41" ht="15" customHeight="1" spans="1:5">
      <c r="A41" s="35"/>
      <c r="B41" s="36"/>
      <c r="C41" s="36"/>
      <c r="D41" s="36"/>
      <c r="E41" s="36"/>
    </row>
    <row r="42" ht="21.75" customHeight="1" spans="1:5">
      <c r="A42" s="35"/>
      <c r="B42" s="36"/>
      <c r="C42" s="36"/>
      <c r="D42" s="36"/>
      <c r="E42" s="35"/>
    </row>
    <row r="46" spans="1:5">
      <c r="D46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8:B38"/>
    <mergeCell ref="A39:B39"/>
    <mergeCell ref="A2:E9"/>
    <mergeCell ref="C17:E27"/>
  </mergeCells>
  <printOptions horizontalCentered="1"/>
  <pageMargins left="0.47244094488189" right="0.393700787401575" top="0.984251968503937" bottom="0.984251968503937" header="0.511811023622047" footer="0.511811023622047"/>
  <pageSetup paperSize="9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6"/>
  <sheetViews>
    <sheetView topLeftCell="A22" workbookViewId="0">
      <selection activeCell="A23" sqref="A17:E28"/>
    </sheetView>
  </sheetViews>
  <sheetFormatPr defaultColWidth="9" defaultRowHeight="15.75" outlineLevelCol="5"/>
  <cols>
    <col min="1" max="1" width="19.5" customWidth="1"/>
    <col min="2" max="2" width="23.375" customWidth="1"/>
    <col min="3" max="3" width="13.75" customWidth="1"/>
    <col min="4" max="4" width="14.125" customWidth="1"/>
    <col min="5" max="5" width="15.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/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2" customHeight="1" spans="1:6">
      <c r="A12" s="13" t="s">
        <v>3</v>
      </c>
      <c r="B12" s="14"/>
      <c r="C12" s="58" t="s">
        <v>576</v>
      </c>
      <c r="D12" s="59"/>
      <c r="E12" s="59"/>
      <c r="F12" s="56"/>
    </row>
    <row r="13" ht="14.25" customHeight="1" spans="1:6">
      <c r="A13" s="13" t="s">
        <v>567</v>
      </c>
      <c r="B13" s="14"/>
      <c r="C13" s="6" t="s">
        <v>5</v>
      </c>
      <c r="D13" s="5"/>
      <c r="E13" s="5"/>
    </row>
    <row r="14" ht="15" customHeight="1" spans="1:6">
      <c r="A14" s="7" t="s">
        <v>568</v>
      </c>
      <c r="B14" s="8"/>
      <c r="C14" s="9" t="s">
        <v>577</v>
      </c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 t="s">
        <v>578</v>
      </c>
      <c r="D16" s="59"/>
      <c r="E16" s="59"/>
    </row>
    <row r="17" ht="14.25" customHeight="1" spans="1:5">
      <c r="A17" s="7" t="s">
        <v>579</v>
      </c>
      <c r="B17" s="8"/>
      <c r="C17" s="61" t="s">
        <v>57</v>
      </c>
      <c r="D17" s="62"/>
      <c r="E17" s="62"/>
    </row>
    <row r="18" ht="14.25" customHeight="1" spans="1:5">
      <c r="A18" s="7" t="s">
        <v>580</v>
      </c>
      <c r="B18" s="8"/>
      <c r="C18" s="63"/>
      <c r="D18" s="13"/>
      <c r="E18" s="13"/>
    </row>
    <row r="19" ht="14.25" customHeight="1" spans="1:5">
      <c r="A19" s="7" t="s">
        <v>581</v>
      </c>
      <c r="B19" s="8"/>
      <c r="C19" s="63"/>
      <c r="D19" s="13"/>
      <c r="E19" s="13"/>
    </row>
    <row r="20" ht="14.2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13" t="s">
        <v>582</v>
      </c>
      <c r="B21" s="14"/>
      <c r="C21" s="63"/>
      <c r="D21" s="13"/>
      <c r="E21" s="13"/>
    </row>
    <row r="22" ht="14.25" customHeight="1" spans="1:5">
      <c r="A22" s="13" t="s">
        <v>583</v>
      </c>
      <c r="B22" s="14"/>
      <c r="C22" s="63"/>
      <c r="D22" s="13"/>
      <c r="E22" s="13"/>
    </row>
    <row r="23" ht="14.25" customHeight="1" spans="1:5">
      <c r="A23" s="13" t="s">
        <v>584</v>
      </c>
      <c r="B23" s="14"/>
      <c r="C23" s="63"/>
      <c r="D23" s="13"/>
      <c r="E23" s="13"/>
    </row>
    <row r="24" ht="14.25" customHeight="1" spans="1:5">
      <c r="A24" s="13"/>
      <c r="B24" s="14"/>
      <c r="C24" s="63"/>
      <c r="D24" s="13"/>
      <c r="E24" s="13"/>
    </row>
    <row r="25" spans="1:5">
      <c r="A25" s="10" t="s">
        <v>17</v>
      </c>
      <c r="B25" s="18" t="s">
        <v>18</v>
      </c>
      <c r="C25" s="63"/>
      <c r="D25" s="13"/>
      <c r="E25" s="13"/>
    </row>
    <row r="26" ht="13.5" customHeight="1" spans="1:5">
      <c r="A26" s="19" t="s">
        <v>585</v>
      </c>
      <c r="B26" s="19" t="s">
        <v>586</v>
      </c>
      <c r="C26" s="63"/>
      <c r="D26" s="13"/>
      <c r="E26" s="13"/>
    </row>
    <row r="27" ht="16.5" customHeight="1" spans="1:5">
      <c r="A27" s="10" t="s">
        <v>21</v>
      </c>
      <c r="B27" s="18" t="s">
        <v>22</v>
      </c>
      <c r="C27" s="63"/>
      <c r="D27" s="13"/>
      <c r="E27" s="13"/>
    </row>
    <row r="28" spans="1:5">
      <c r="A28" s="21" t="s">
        <v>587</v>
      </c>
      <c r="B28" s="22" t="s">
        <v>588</v>
      </c>
      <c r="C28" s="58"/>
      <c r="D28" s="59"/>
      <c r="E28" s="59"/>
    </row>
    <row r="29" spans="1:5">
      <c r="A29" s="23" t="s">
        <v>24</v>
      </c>
      <c r="B29" s="24" t="s">
        <v>25</v>
      </c>
      <c r="C29" s="25" t="s">
        <v>26</v>
      </c>
      <c r="D29" s="25" t="s">
        <v>27</v>
      </c>
      <c r="E29" s="28" t="s">
        <v>28</v>
      </c>
    </row>
    <row r="30" ht="12" customHeight="1" spans="1:5">
      <c r="A30" s="29"/>
      <c r="B30" s="36"/>
      <c r="C30" s="36" t="s">
        <v>29</v>
      </c>
      <c r="D30" s="36" t="s">
        <v>30</v>
      </c>
      <c r="E30" s="64" t="s">
        <v>31</v>
      </c>
    </row>
    <row r="31" ht="6" customHeight="1" spans="1:5">
      <c r="A31" s="29"/>
      <c r="B31" s="29"/>
      <c r="C31" s="29"/>
      <c r="D31" s="29"/>
      <c r="E31" s="29"/>
    </row>
    <row r="32" ht="11.25" customHeight="1" spans="1:5">
      <c r="A32" s="29"/>
      <c r="B32" s="29"/>
      <c r="C32" s="29" t="s">
        <v>291</v>
      </c>
      <c r="D32" s="30" t="s">
        <v>589</v>
      </c>
      <c r="E32" s="30"/>
    </row>
    <row r="33" ht="15" customHeight="1" spans="1:5">
      <c r="A33" s="35" t="s">
        <v>32</v>
      </c>
      <c r="B33" s="135" t="s">
        <v>449</v>
      </c>
      <c r="C33" s="31">
        <v>95.77</v>
      </c>
      <c r="D33" s="65">
        <v>440</v>
      </c>
      <c r="E33" s="66">
        <f>C33*D33</f>
        <v>42138.8</v>
      </c>
    </row>
    <row r="34" ht="15" customHeight="1" spans="1:5">
      <c r="A34" s="35"/>
      <c r="B34" s="135" t="s">
        <v>590</v>
      </c>
      <c r="C34" s="31"/>
      <c r="D34" s="65"/>
      <c r="E34" s="66"/>
    </row>
    <row r="35" ht="15" customHeight="1" spans="1:5">
      <c r="A35" s="34"/>
      <c r="B35" s="136" t="s">
        <v>591</v>
      </c>
      <c r="C35" s="31"/>
      <c r="D35" s="65"/>
      <c r="E35" s="66"/>
    </row>
    <row r="36" ht="15" customHeight="1" spans="1:5">
      <c r="A36" s="34"/>
      <c r="B36" s="135"/>
      <c r="C36" s="31"/>
      <c r="D36" s="65"/>
      <c r="E36" s="66"/>
    </row>
    <row r="37" ht="15" customHeight="1" spans="1:5">
      <c r="A37" s="30" t="s">
        <v>296</v>
      </c>
      <c r="B37" s="30"/>
      <c r="C37" s="31"/>
      <c r="D37" s="52"/>
      <c r="E37" s="31"/>
    </row>
    <row r="38" ht="15" customHeight="1" spans="1:5">
      <c r="A38" s="30" t="s">
        <v>592</v>
      </c>
      <c r="B38" s="30"/>
      <c r="C38" s="31"/>
      <c r="D38" s="52"/>
      <c r="E38" s="31"/>
    </row>
    <row r="39" ht="15" customHeight="1" spans="1:5">
      <c r="A39" s="30"/>
      <c r="B39" s="30"/>
      <c r="C39" s="36"/>
      <c r="D39" s="35"/>
      <c r="E39" s="35"/>
    </row>
    <row r="40" ht="15" customHeight="1" spans="1:5">
      <c r="A40" s="37"/>
      <c r="B40" s="37"/>
      <c r="C40" s="37"/>
      <c r="D40" s="38"/>
      <c r="E40" s="38"/>
    </row>
    <row r="41" ht="15" customHeight="1" spans="1:5">
      <c r="A41" s="35"/>
      <c r="B41" s="36" t="s">
        <v>36</v>
      </c>
      <c r="C41" s="36">
        <v>95.77</v>
      </c>
      <c r="D41" s="36"/>
      <c r="E41" s="68">
        <f>SUM(E33:E40)</f>
        <v>42138.8</v>
      </c>
    </row>
    <row r="42" ht="21.75" customHeight="1" spans="1:5">
      <c r="A42" s="35"/>
      <c r="B42" s="36"/>
      <c r="C42" s="36"/>
      <c r="D42" s="36"/>
      <c r="E42" s="35"/>
    </row>
    <row r="46" spans="1:5">
      <c r="D46" s="55" t="s">
        <v>47</v>
      </c>
    </row>
  </sheetData>
  <mergeCells count="26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1:E31"/>
    <mergeCell ref="D32:E32"/>
    <mergeCell ref="A37:B37"/>
    <mergeCell ref="A38:B38"/>
    <mergeCell ref="A39:B39"/>
    <mergeCell ref="A40:B40"/>
    <mergeCell ref="A2:E9"/>
    <mergeCell ref="C17:E28"/>
  </mergeCells>
  <printOptions horizontalCentered="1"/>
  <pageMargins left="0.47244094488189" right="0.393700787401575" top="0.984251968503937" bottom="0.984251968503937" header="0.511811023622047" footer="0.511811023622047"/>
  <pageSetup paperSize="9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1"/>
  <sheetViews>
    <sheetView topLeftCell="A13" workbookViewId="0">
      <selection activeCell="A23" sqref="A12:F24"/>
    </sheetView>
  </sheetViews>
  <sheetFormatPr defaultColWidth="9" defaultRowHeight="11.6" outlineLevelCol="6"/>
  <cols>
    <col min="1" max="1" width="19.12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7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576</v>
      </c>
      <c r="D8" s="7"/>
      <c r="E8" s="7"/>
      <c r="F8" s="7"/>
    </row>
    <row r="9" customFormat="1" ht="15" customHeight="1" spans="1:7">
      <c r="A9" s="13" t="s">
        <v>567</v>
      </c>
      <c r="B9" s="14"/>
      <c r="C9" s="9"/>
      <c r="D9" s="7"/>
      <c r="E9" s="7"/>
      <c r="F9" s="7"/>
    </row>
    <row r="10" customFormat="1" ht="15" customHeight="1" spans="1:7">
      <c r="A10" s="7" t="s">
        <v>568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593</v>
      </c>
      <c r="D12" s="5"/>
      <c r="E12" s="5"/>
      <c r="F12" s="5"/>
    </row>
    <row r="13" customFormat="1" ht="14.25" customHeight="1" spans="1:7">
      <c r="A13" s="7" t="s">
        <v>579</v>
      </c>
      <c r="B13" s="8"/>
      <c r="C13" s="15"/>
      <c r="D13" s="16"/>
      <c r="E13" s="16"/>
      <c r="F13" s="16"/>
    </row>
    <row r="14" customFormat="1" ht="14.25" customHeight="1" spans="1:7">
      <c r="A14" s="7" t="s">
        <v>580</v>
      </c>
      <c r="B14" s="8"/>
      <c r="C14" s="15"/>
      <c r="D14" s="16"/>
      <c r="E14" s="16"/>
      <c r="F14" s="16"/>
    </row>
    <row r="15" customFormat="1" ht="14.25" customHeight="1" spans="1:7">
      <c r="A15" s="7" t="s">
        <v>581</v>
      </c>
      <c r="B15" s="8"/>
      <c r="C15" s="15"/>
      <c r="D15" s="16"/>
      <c r="E15" s="16"/>
      <c r="F15" s="16"/>
    </row>
    <row r="16" customFormat="1" ht="12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13" t="s">
        <v>582</v>
      </c>
      <c r="B17" s="14"/>
      <c r="C17" s="15"/>
      <c r="D17" s="16"/>
      <c r="E17" s="16"/>
      <c r="F17" s="16"/>
    </row>
    <row r="18" customFormat="1" ht="14.25" customHeight="1" spans="1:7">
      <c r="A18" s="13" t="s">
        <v>583</v>
      </c>
      <c r="B18" s="14"/>
      <c r="C18" s="15"/>
      <c r="D18" s="16"/>
      <c r="E18" s="16"/>
      <c r="F18" s="16"/>
    </row>
    <row r="19" customFormat="1" ht="14.25" customHeight="1" spans="1:7">
      <c r="A19" s="13" t="s">
        <v>584</v>
      </c>
      <c r="B19" s="14"/>
      <c r="C19" s="15"/>
      <c r="D19" s="16"/>
      <c r="E19" s="16"/>
      <c r="F19" s="16"/>
    </row>
    <row r="20" customFormat="1" ht="14.25" customHeight="1" spans="1:7">
      <c r="A20" s="13"/>
      <c r="B20" s="14"/>
      <c r="C20" s="15"/>
      <c r="D20" s="16"/>
      <c r="E20" s="16"/>
      <c r="F20" s="16"/>
    </row>
    <row r="21" customFormat="1" ht="15.75" spans="1:7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7">
      <c r="A22" s="19" t="s">
        <v>585</v>
      </c>
      <c r="B22" s="19" t="s">
        <v>586</v>
      </c>
      <c r="C22" s="15"/>
      <c r="D22" s="16"/>
      <c r="E22" s="16"/>
      <c r="F22" s="16"/>
    </row>
    <row r="23" customFormat="1" ht="16.5" customHeight="1" spans="1:7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7">
      <c r="A24" s="21" t="s">
        <v>587</v>
      </c>
      <c r="B24" s="22" t="s">
        <v>588</v>
      </c>
      <c r="C24" s="15"/>
      <c r="D24" s="16"/>
      <c r="E24" s="16"/>
      <c r="F24" s="16"/>
    </row>
    <row r="25" customFormat="1" ht="20.25" spans="1:7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7">
      <c r="A26" s="29"/>
      <c r="B26" s="29"/>
      <c r="C26" s="29"/>
      <c r="D26" s="29"/>
      <c r="E26" s="29"/>
      <c r="F26" s="29"/>
      <c r="G26" s="29"/>
    </row>
    <row r="27" ht="12" customHeight="1" spans="1:7">
      <c r="A27" s="30"/>
      <c r="B27" s="30" t="s">
        <v>449</v>
      </c>
      <c r="C27" s="31"/>
      <c r="D27" s="32"/>
      <c r="E27" s="32"/>
      <c r="F27" s="33"/>
      <c r="G27" s="31"/>
    </row>
    <row r="28" ht="12" customHeight="1" spans="1:7">
      <c r="A28" s="34"/>
      <c r="B28" s="67" t="s">
        <v>594</v>
      </c>
      <c r="C28" s="31"/>
      <c r="D28" s="32"/>
      <c r="E28" s="32"/>
      <c r="F28" s="33"/>
      <c r="G28" s="31"/>
    </row>
    <row r="29" spans="1:7">
      <c r="A29" s="35"/>
      <c r="B29" s="30" t="s">
        <v>451</v>
      </c>
      <c r="C29" s="36"/>
      <c r="D29" s="35"/>
      <c r="E29" s="35"/>
      <c r="F29" s="35"/>
      <c r="G29" s="35"/>
    </row>
    <row r="30" s="67" customFormat="1" ht="11.25" spans="1:7">
      <c r="A30" s="35" t="s">
        <v>595</v>
      </c>
      <c r="B30" s="35"/>
      <c r="C30" s="35"/>
      <c r="D30" s="35"/>
      <c r="E30" s="35"/>
      <c r="F30" s="35"/>
      <c r="G30" s="35"/>
    </row>
    <row r="31" s="67" customFormat="1" ht="10.5" customHeight="1" spans="1:7">
      <c r="A31" s="35"/>
      <c r="B31" s="35" t="s">
        <v>596</v>
      </c>
      <c r="C31" s="35"/>
      <c r="D31" s="129"/>
      <c r="E31" s="35"/>
      <c r="F31" s="35"/>
      <c r="G31" s="35"/>
    </row>
    <row r="32" s="67" customFormat="1" ht="12" customHeight="1" spans="1:7">
      <c r="A32" s="35"/>
      <c r="B32" s="35" t="s">
        <v>597</v>
      </c>
      <c r="C32" s="34"/>
      <c r="D32" s="130">
        <v>19190</v>
      </c>
      <c r="E32" s="130">
        <f>D32+110</f>
        <v>19300</v>
      </c>
      <c r="F32" s="34" t="s">
        <v>226</v>
      </c>
      <c r="G32" s="35"/>
    </row>
    <row r="33" s="67" customFormat="1" ht="12" customHeight="1" spans="1:7">
      <c r="A33" s="35"/>
      <c r="B33" s="35" t="s">
        <v>598</v>
      </c>
      <c r="C33" s="34"/>
      <c r="D33" s="130">
        <v>19860</v>
      </c>
      <c r="E33" s="130">
        <f>D33+110</f>
        <v>19970</v>
      </c>
      <c r="F33" s="34" t="s">
        <v>226</v>
      </c>
      <c r="G33" s="35"/>
    </row>
    <row r="34" s="67" customFormat="1" ht="12" customHeight="1" spans="1:7">
      <c r="A34" s="35"/>
      <c r="B34" s="35" t="s">
        <v>599</v>
      </c>
      <c r="C34" s="34"/>
      <c r="D34" s="130">
        <v>19290</v>
      </c>
      <c r="E34" s="130">
        <f>D34+110</f>
        <v>19400</v>
      </c>
      <c r="F34" s="34" t="s">
        <v>226</v>
      </c>
      <c r="G34" s="35"/>
    </row>
    <row r="35" s="67" customFormat="1" ht="11.25" spans="1:7">
      <c r="A35" s="35"/>
      <c r="B35" s="35" t="s">
        <v>600</v>
      </c>
      <c r="C35" s="34"/>
      <c r="D35" s="130">
        <v>19730</v>
      </c>
      <c r="E35" s="130">
        <f>D35+110</f>
        <v>19840</v>
      </c>
      <c r="F35" s="34" t="s">
        <v>226</v>
      </c>
      <c r="G35" s="35"/>
    </row>
    <row r="36" s="67" customFormat="1" ht="11.25" spans="1:7">
      <c r="B36" s="67" t="s">
        <v>601</v>
      </c>
      <c r="D36" s="130">
        <v>17700</v>
      </c>
      <c r="E36" s="130">
        <f>D36+110</f>
        <v>17810</v>
      </c>
      <c r="F36" s="34" t="s">
        <v>226</v>
      </c>
    </row>
    <row r="37" ht="12.35" spans="1:7">
      <c r="A37" s="37"/>
      <c r="B37" s="37"/>
      <c r="C37" s="37"/>
      <c r="D37" s="38"/>
      <c r="E37" s="137"/>
      <c r="F37" s="38"/>
      <c r="G37" s="39"/>
    </row>
    <row r="38" s="128" customFormat="1" ht="12.35" spans="1:7">
      <c r="A38" s="34"/>
      <c r="B38" s="34" t="s">
        <v>36</v>
      </c>
      <c r="C38" s="34">
        <v>5</v>
      </c>
      <c r="D38" s="132" t="s">
        <v>602</v>
      </c>
      <c r="E38" s="132" t="s">
        <v>603</v>
      </c>
      <c r="F38" s="133" t="s">
        <v>465</v>
      </c>
      <c r="G38" s="34"/>
    </row>
    <row r="39" spans="1:7">
      <c r="A39" s="35"/>
      <c r="B39" s="36"/>
      <c r="C39" s="36"/>
      <c r="D39" s="36"/>
      <c r="E39" s="36"/>
      <c r="F39" s="36"/>
      <c r="G39" s="35"/>
    </row>
    <row r="41" spans="1:7">
      <c r="D41" s="43" t="s">
        <v>83</v>
      </c>
      <c r="E41" s="43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6:G26"/>
    <mergeCell ref="A37:B37"/>
    <mergeCell ref="A2:F6"/>
    <mergeCell ref="C12:F24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5"/>
  <sheetViews>
    <sheetView topLeftCell="A16" workbookViewId="0">
      <selection activeCell="A23" sqref="A17:E27"/>
    </sheetView>
  </sheetViews>
  <sheetFormatPr defaultColWidth="9" defaultRowHeight="15.75" outlineLevelCol="5"/>
  <cols>
    <col min="1" max="1" width="19.5" customWidth="1"/>
    <col min="2" max="2" width="23.375" customWidth="1"/>
    <col min="3" max="3" width="13.75" customWidth="1"/>
    <col min="4" max="4" width="14.125" customWidth="1"/>
    <col min="5" max="5" width="15.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/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2" customHeight="1" spans="1:6">
      <c r="A12" s="13" t="s">
        <v>604</v>
      </c>
      <c r="B12" s="14"/>
      <c r="C12" s="58" t="s">
        <v>605</v>
      </c>
      <c r="D12" s="59"/>
      <c r="E12" s="59"/>
      <c r="F12" s="56"/>
    </row>
    <row r="13" ht="14.25" customHeight="1" spans="1:6">
      <c r="A13" s="13" t="s">
        <v>606</v>
      </c>
      <c r="B13" s="14"/>
      <c r="C13" s="6" t="s">
        <v>5</v>
      </c>
      <c r="D13" s="5"/>
      <c r="E13" s="5"/>
    </row>
    <row r="14" ht="15" customHeight="1" spans="1:6">
      <c r="A14" s="7" t="s">
        <v>607</v>
      </c>
      <c r="B14" s="8"/>
      <c r="C14" s="9"/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/>
      <c r="D16" s="59"/>
      <c r="E16" s="59"/>
    </row>
    <row r="17" ht="14.25" customHeight="1" spans="1:5">
      <c r="A17" s="7" t="s">
        <v>608</v>
      </c>
      <c r="B17" s="8"/>
      <c r="C17" s="61" t="s">
        <v>57</v>
      </c>
      <c r="D17" s="62"/>
      <c r="E17" s="62"/>
    </row>
    <row r="18" ht="14.25" customHeight="1" spans="1:5">
      <c r="A18" s="7" t="s">
        <v>609</v>
      </c>
      <c r="B18" s="8"/>
      <c r="C18" s="63"/>
      <c r="D18" s="13"/>
      <c r="E18" s="13"/>
    </row>
    <row r="19" ht="14.25" customHeight="1" spans="1:5">
      <c r="A19" s="7" t="s">
        <v>610</v>
      </c>
      <c r="B19" s="8"/>
      <c r="C19" s="63"/>
      <c r="D19" s="13"/>
      <c r="E19" s="13"/>
    </row>
    <row r="20" ht="19.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13" t="s">
        <v>16</v>
      </c>
      <c r="B21" s="14"/>
      <c r="C21" s="63"/>
      <c r="D21" s="13"/>
      <c r="E21" s="13"/>
    </row>
    <row r="22" ht="14.25" customHeight="1" spans="1:5">
      <c r="A22" s="13"/>
      <c r="B22" s="14"/>
      <c r="C22" s="63"/>
      <c r="D22" s="13"/>
      <c r="E22" s="13"/>
    </row>
    <row r="23" ht="14.25" customHeight="1" spans="1:5">
      <c r="A23" s="13"/>
      <c r="B23" s="14"/>
      <c r="C23" s="63"/>
      <c r="D23" s="13"/>
      <c r="E23" s="13"/>
    </row>
    <row r="24" spans="1:5">
      <c r="A24" s="10" t="s">
        <v>17</v>
      </c>
      <c r="B24" s="18" t="s">
        <v>18</v>
      </c>
      <c r="C24" s="63"/>
      <c r="D24" s="13"/>
      <c r="E24" s="13"/>
    </row>
    <row r="25" ht="13.5" customHeight="1" spans="1:5">
      <c r="A25" s="19" t="s">
        <v>611</v>
      </c>
      <c r="B25" s="19" t="s">
        <v>612</v>
      </c>
      <c r="C25" s="63"/>
      <c r="D25" s="13"/>
      <c r="E25" s="13"/>
    </row>
    <row r="26" ht="16.5" customHeight="1" spans="1:5">
      <c r="A26" s="10" t="s">
        <v>21</v>
      </c>
      <c r="B26" s="18" t="s">
        <v>22</v>
      </c>
      <c r="C26" s="63"/>
      <c r="D26" s="13"/>
      <c r="E26" s="13"/>
    </row>
    <row r="27" spans="1:5">
      <c r="A27" s="21"/>
      <c r="B27" s="22" t="s">
        <v>613</v>
      </c>
      <c r="C27" s="58"/>
      <c r="D27" s="59"/>
      <c r="E27" s="59"/>
    </row>
    <row r="28" spans="1:5">
      <c r="A28" s="23" t="s">
        <v>24</v>
      </c>
      <c r="B28" s="24" t="s">
        <v>25</v>
      </c>
      <c r="C28" s="25" t="s">
        <v>26</v>
      </c>
      <c r="D28" s="25" t="s">
        <v>27</v>
      </c>
      <c r="E28" s="28" t="s">
        <v>28</v>
      </c>
    </row>
    <row r="29" ht="12" customHeight="1" spans="1:5">
      <c r="A29" s="29"/>
      <c r="B29" s="36"/>
      <c r="C29" s="36" t="s">
        <v>206</v>
      </c>
      <c r="D29" s="36" t="s">
        <v>30</v>
      </c>
      <c r="E29" s="64" t="s">
        <v>31</v>
      </c>
    </row>
    <row r="30" ht="6" customHeight="1" spans="1:5">
      <c r="A30" s="29"/>
      <c r="B30" s="29"/>
      <c r="C30" s="29"/>
      <c r="D30" s="29"/>
      <c r="E30" s="29"/>
    </row>
    <row r="31" ht="11.25" customHeight="1" spans="1:5">
      <c r="A31" s="29"/>
      <c r="B31" s="29"/>
      <c r="C31" s="29"/>
      <c r="D31" s="30" t="s">
        <v>614</v>
      </c>
      <c r="E31" s="30"/>
    </row>
    <row r="32" ht="15" customHeight="1" spans="1:5">
      <c r="A32" s="35" t="s">
        <v>615</v>
      </c>
      <c r="B32" s="135" t="s">
        <v>449</v>
      </c>
      <c r="C32" s="31">
        <v>2</v>
      </c>
      <c r="D32" s="65">
        <v>3</v>
      </c>
      <c r="E32" s="66">
        <f>C32*D32</f>
        <v>6</v>
      </c>
    </row>
    <row r="33" ht="15" customHeight="1" spans="1:5">
      <c r="A33" s="35"/>
      <c r="B33" s="135"/>
      <c r="C33" s="31"/>
      <c r="D33" s="65"/>
      <c r="E33" s="66"/>
    </row>
    <row r="34" ht="15" customHeight="1" spans="1:5">
      <c r="A34" s="34"/>
      <c r="B34" s="136"/>
      <c r="C34" s="31"/>
      <c r="D34" s="65"/>
      <c r="E34" s="66"/>
    </row>
    <row r="35" ht="15" customHeight="1" spans="1:5">
      <c r="A35" s="34"/>
      <c r="B35" s="135"/>
      <c r="C35" s="31"/>
      <c r="D35" s="52"/>
      <c r="E35" s="31"/>
    </row>
    <row r="36" ht="15" customHeight="1" spans="1:5">
      <c r="A36" s="34"/>
      <c r="B36" s="34"/>
      <c r="C36" s="31"/>
      <c r="D36" s="52"/>
      <c r="E36" s="31"/>
    </row>
    <row r="37" ht="15" customHeight="1" spans="1:5">
      <c r="A37" s="30" t="s">
        <v>35</v>
      </c>
      <c r="B37" s="30"/>
      <c r="C37" s="36"/>
      <c r="D37" s="35"/>
      <c r="E37" s="35"/>
    </row>
    <row r="38" ht="15" customHeight="1" spans="1:5">
      <c r="A38" s="37"/>
      <c r="B38" s="37"/>
      <c r="C38" s="37"/>
      <c r="D38" s="38"/>
      <c r="E38" s="38"/>
    </row>
    <row r="39" ht="15" customHeight="1" spans="1:5">
      <c r="A39" s="35"/>
      <c r="B39" s="36" t="s">
        <v>36</v>
      </c>
      <c r="C39" s="36">
        <f>SUM(C32:C38)</f>
        <v>2</v>
      </c>
      <c r="D39" s="36"/>
      <c r="E39" s="68">
        <f>SUM(E32:E38)</f>
        <v>6</v>
      </c>
    </row>
    <row r="40" ht="15" customHeight="1" spans="1:5">
      <c r="A40" s="35"/>
      <c r="B40" s="36"/>
      <c r="C40" s="36"/>
      <c r="D40" s="36"/>
      <c r="E40" s="36"/>
    </row>
    <row r="41" ht="21.75" customHeight="1" spans="1:5">
      <c r="A41" s="35"/>
      <c r="B41" s="36"/>
      <c r="C41" s="36"/>
      <c r="D41" s="36"/>
      <c r="E41" s="35"/>
    </row>
    <row r="45" spans="1:5">
      <c r="D45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7:B37"/>
    <mergeCell ref="A38:B38"/>
    <mergeCell ref="A2:E9"/>
    <mergeCell ref="C17:E27"/>
  </mergeCells>
  <printOptions horizontalCentered="1"/>
  <pageMargins left="0.47244094488189" right="0.393700787401575" top="0.984251968503937" bottom="0.984251968503937" header="0.511811023622047" footer="0.511811023622047"/>
  <pageSetup paperSize="9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6"/>
  <sheetViews>
    <sheetView workbookViewId="0">
      <selection activeCell="A23" sqref="A17:E27"/>
    </sheetView>
  </sheetViews>
  <sheetFormatPr defaultColWidth="9" defaultRowHeight="15.75" outlineLevelCol="5"/>
  <cols>
    <col min="1" max="1" width="19.5" customWidth="1"/>
    <col min="2" max="2" width="23.375" customWidth="1"/>
    <col min="3" max="3" width="13.75" customWidth="1"/>
    <col min="4" max="4" width="14.125" customWidth="1"/>
    <col min="5" max="5" width="15.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 t="s">
        <v>565</v>
      </c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2" customHeight="1" spans="1:6">
      <c r="A12" s="13" t="s">
        <v>3</v>
      </c>
      <c r="B12" s="14"/>
      <c r="C12" s="58" t="s">
        <v>616</v>
      </c>
      <c r="D12" s="59"/>
      <c r="E12" s="59"/>
      <c r="F12" s="56"/>
    </row>
    <row r="13" ht="14.25" customHeight="1" spans="1:6">
      <c r="A13" s="13" t="s">
        <v>567</v>
      </c>
      <c r="B13" s="14"/>
      <c r="C13" s="6" t="s">
        <v>5</v>
      </c>
      <c r="D13" s="5"/>
      <c r="E13" s="5"/>
    </row>
    <row r="14" ht="15" customHeight="1" spans="1:6">
      <c r="A14" s="7" t="s">
        <v>568</v>
      </c>
      <c r="B14" s="8"/>
      <c r="C14" s="9"/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 t="s">
        <v>617</v>
      </c>
      <c r="D16" s="59"/>
      <c r="E16" s="59"/>
    </row>
    <row r="17" ht="14.25" customHeight="1" spans="1:5">
      <c r="A17" s="7" t="s">
        <v>618</v>
      </c>
      <c r="B17" s="8"/>
      <c r="C17" s="61" t="s">
        <v>57</v>
      </c>
      <c r="D17" s="62"/>
      <c r="E17" s="62"/>
    </row>
    <row r="18" ht="14.25" customHeight="1" spans="1:5">
      <c r="A18" s="7" t="s">
        <v>619</v>
      </c>
      <c r="B18" s="8"/>
      <c r="C18" s="63"/>
      <c r="D18" s="13"/>
      <c r="E18" s="13"/>
    </row>
    <row r="19" ht="14.25" customHeight="1" spans="1:5">
      <c r="A19" s="7"/>
      <c r="B19" s="8"/>
      <c r="C19" s="63"/>
      <c r="D19" s="13"/>
      <c r="E19" s="13"/>
    </row>
    <row r="20" ht="19.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13" t="s">
        <v>571</v>
      </c>
      <c r="B21" s="14"/>
      <c r="C21" s="63"/>
      <c r="D21" s="13"/>
      <c r="E21" s="13"/>
    </row>
    <row r="22" ht="14.25" customHeight="1" spans="1:5">
      <c r="A22" s="13"/>
      <c r="B22" s="14"/>
      <c r="C22" s="63"/>
      <c r="D22" s="13"/>
      <c r="E22" s="13"/>
    </row>
    <row r="23" ht="14.25" customHeight="1" spans="1:5">
      <c r="A23" s="7"/>
      <c r="B23" s="8"/>
      <c r="C23" s="63"/>
      <c r="D23" s="13"/>
      <c r="E23" s="13"/>
    </row>
    <row r="24" spans="1:5">
      <c r="A24" s="10" t="s">
        <v>17</v>
      </c>
      <c r="B24" s="18" t="s">
        <v>18</v>
      </c>
      <c r="C24" s="63"/>
      <c r="D24" s="13"/>
      <c r="E24" s="13"/>
    </row>
    <row r="25" ht="13.5" customHeight="1" spans="1:5">
      <c r="A25" s="19" t="s">
        <v>182</v>
      </c>
      <c r="B25" s="19" t="s">
        <v>620</v>
      </c>
      <c r="C25" s="63"/>
      <c r="D25" s="13"/>
      <c r="E25" s="13"/>
    </row>
    <row r="26" ht="16.5" customHeight="1" spans="1:5">
      <c r="A26" s="10" t="s">
        <v>21</v>
      </c>
      <c r="B26" s="18" t="s">
        <v>22</v>
      </c>
      <c r="C26" s="63"/>
      <c r="D26" s="13"/>
      <c r="E26" s="13"/>
    </row>
    <row r="27" spans="1:5">
      <c r="A27" s="21"/>
      <c r="B27" s="22" t="s">
        <v>621</v>
      </c>
      <c r="C27" s="58"/>
      <c r="D27" s="59"/>
      <c r="E27" s="59"/>
    </row>
    <row r="28" spans="1:5">
      <c r="A28" s="23" t="s">
        <v>24</v>
      </c>
      <c r="B28" s="24" t="s">
        <v>25</v>
      </c>
      <c r="C28" s="25" t="s">
        <v>26</v>
      </c>
      <c r="D28" s="25" t="s">
        <v>27</v>
      </c>
      <c r="E28" s="28" t="s">
        <v>28</v>
      </c>
    </row>
    <row r="29" ht="12" customHeight="1" spans="1:5">
      <c r="A29" s="29"/>
      <c r="B29" s="36"/>
      <c r="C29" s="36" t="s">
        <v>206</v>
      </c>
      <c r="D29" s="36" t="s">
        <v>30</v>
      </c>
      <c r="E29" s="64" t="s">
        <v>31</v>
      </c>
    </row>
    <row r="30" ht="6" customHeight="1" spans="1:5">
      <c r="A30" s="29"/>
      <c r="B30" s="29"/>
      <c r="C30" s="29"/>
      <c r="D30" s="29"/>
      <c r="E30" s="29"/>
    </row>
    <row r="31" ht="11.25" customHeight="1" spans="1:5">
      <c r="A31" s="29"/>
      <c r="B31" s="29"/>
      <c r="C31" s="29"/>
      <c r="D31" s="30" t="s">
        <v>574</v>
      </c>
      <c r="E31" s="30"/>
    </row>
    <row r="32" ht="15" customHeight="1" spans="1:5">
      <c r="A32" s="35" t="s">
        <v>32</v>
      </c>
      <c r="B32" s="135" t="s">
        <v>449</v>
      </c>
      <c r="C32" s="31">
        <v>1</v>
      </c>
      <c r="D32" s="65">
        <v>1</v>
      </c>
      <c r="E32" s="66">
        <f>C32*D32</f>
        <v>1</v>
      </c>
    </row>
    <row r="33" ht="15" customHeight="1" spans="1:5">
      <c r="A33" s="35"/>
      <c r="B33" s="135" t="s">
        <v>590</v>
      </c>
      <c r="C33" s="31"/>
      <c r="D33" s="65"/>
      <c r="E33" s="66"/>
    </row>
    <row r="34" ht="15" customHeight="1" spans="1:5">
      <c r="A34" s="34"/>
      <c r="B34" s="136" t="s">
        <v>622</v>
      </c>
      <c r="C34" s="31"/>
      <c r="D34" s="65"/>
      <c r="E34" s="66"/>
    </row>
    <row r="35" ht="15" customHeight="1" spans="1:5">
      <c r="A35" s="34"/>
      <c r="B35" s="135" t="s">
        <v>623</v>
      </c>
      <c r="C35" s="31"/>
      <c r="D35" s="65"/>
      <c r="E35" s="66"/>
    </row>
    <row r="36" ht="15" customHeight="1" spans="1:5">
      <c r="A36" s="34"/>
      <c r="B36" s="135" t="s">
        <v>624</v>
      </c>
      <c r="C36" s="31"/>
      <c r="D36" s="52"/>
      <c r="E36" s="31"/>
    </row>
    <row r="37" ht="15" customHeight="1" spans="1:5">
      <c r="A37" s="34"/>
      <c r="B37" s="34"/>
      <c r="C37" s="31"/>
      <c r="D37" s="52"/>
      <c r="E37" s="31"/>
    </row>
    <row r="38" ht="15" customHeight="1" spans="1:5">
      <c r="A38" s="30" t="s">
        <v>35</v>
      </c>
      <c r="B38" s="30"/>
      <c r="C38" s="36"/>
      <c r="D38" s="35"/>
      <c r="E38" s="35"/>
    </row>
    <row r="39" ht="15" customHeight="1" spans="1:5">
      <c r="A39" s="37"/>
      <c r="B39" s="37"/>
      <c r="C39" s="37"/>
      <c r="D39" s="38"/>
      <c r="E39" s="38"/>
    </row>
    <row r="40" ht="15" customHeight="1" spans="1:5">
      <c r="A40" s="35"/>
      <c r="B40" s="36" t="s">
        <v>36</v>
      </c>
      <c r="C40" s="36">
        <f>SUM(C32:C39)</f>
        <v>1</v>
      </c>
      <c r="D40" s="36"/>
      <c r="E40" s="68">
        <f>SUM(E32:E39)</f>
        <v>1</v>
      </c>
    </row>
    <row r="41" ht="15" customHeight="1" spans="1:5">
      <c r="A41" s="35"/>
      <c r="B41" s="36"/>
      <c r="C41" s="36"/>
      <c r="D41" s="36"/>
      <c r="E41" s="36"/>
    </row>
    <row r="42" ht="21.75" customHeight="1" spans="1:5">
      <c r="A42" s="35"/>
      <c r="B42" s="36"/>
      <c r="C42" s="36"/>
      <c r="D42" s="36"/>
      <c r="E42" s="35"/>
    </row>
    <row r="46" spans="1:5">
      <c r="D46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8:B38"/>
    <mergeCell ref="A39:B39"/>
    <mergeCell ref="A2:E9"/>
    <mergeCell ref="C17:E27"/>
  </mergeCells>
  <printOptions horizontalCentered="1"/>
  <pageMargins left="0.47244094488189" right="0.393700787401575" top="0.984251968503937" bottom="0.984251968503937" header="0.511811023622047" footer="0.511811023622047"/>
  <pageSetup paperSize="9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45"/>
  <sheetViews>
    <sheetView workbookViewId="0">
      <selection activeCell="A23" sqref="A17:E27"/>
    </sheetView>
  </sheetViews>
  <sheetFormatPr defaultColWidth="9" defaultRowHeight="15.75" outlineLevelCol="5"/>
  <cols>
    <col min="1" max="1" width="19.5" customWidth="1"/>
    <col min="2" max="2" width="23.375" customWidth="1"/>
    <col min="3" max="3" width="13.75" customWidth="1"/>
    <col min="4" max="4" width="14.125" customWidth="1"/>
    <col min="5" max="5" width="15.5" customWidth="1"/>
  </cols>
  <sheetData>
    <row r="2" spans="1:6">
      <c r="A2" s="2" t="s">
        <v>48</v>
      </c>
      <c r="B2" s="2"/>
      <c r="C2" s="2"/>
      <c r="D2" s="2"/>
      <c r="E2" s="2"/>
      <c r="F2" s="56"/>
    </row>
    <row r="3" spans="1:6">
      <c r="A3" s="2"/>
      <c r="B3" s="2"/>
      <c r="C3" s="2"/>
      <c r="D3" s="2"/>
      <c r="E3" s="2"/>
      <c r="F3" s="56"/>
    </row>
    <row r="4" spans="1:6">
      <c r="A4" s="2"/>
      <c r="B4" s="2"/>
      <c r="C4" s="2"/>
      <c r="D4" s="2"/>
      <c r="E4" s="2"/>
      <c r="F4" s="56"/>
    </row>
    <row r="5" spans="1:6">
      <c r="A5" s="2"/>
      <c r="B5" s="2"/>
      <c r="C5" s="2"/>
      <c r="D5" s="2"/>
      <c r="E5" s="2"/>
      <c r="F5" s="57"/>
    </row>
    <row r="6" customHeight="1" spans="1:6">
      <c r="A6" s="2"/>
      <c r="B6" s="2"/>
      <c r="C6" s="2"/>
      <c r="D6" s="2"/>
      <c r="E6" s="2"/>
    </row>
    <row r="7" ht="2.25" customHeight="1" spans="1:6">
      <c r="A7" s="2"/>
      <c r="B7" s="2"/>
      <c r="C7" s="2"/>
      <c r="D7" s="2"/>
      <c r="E7" s="2"/>
    </row>
    <row r="8" ht="13.5" hidden="1" customHeight="1" spans="1:6">
      <c r="A8" s="2"/>
      <c r="B8" s="2"/>
      <c r="C8" s="2"/>
      <c r="D8" s="2"/>
      <c r="E8" s="2"/>
    </row>
    <row r="9" ht="17.25" hidden="1" customHeight="1" spans="1:6">
      <c r="A9" s="2"/>
      <c r="B9" s="2"/>
      <c r="C9" s="2"/>
      <c r="D9" s="2"/>
      <c r="E9" s="2"/>
    </row>
    <row r="10" ht="13.5" customHeight="1" spans="1:6">
      <c r="A10" s="134"/>
    </row>
    <row r="11" ht="15" customHeight="1" spans="1:6">
      <c r="A11" s="5" t="s">
        <v>1</v>
      </c>
      <c r="B11" s="5"/>
      <c r="C11" s="6" t="s">
        <v>2</v>
      </c>
      <c r="D11" s="5"/>
      <c r="E11" s="5"/>
    </row>
    <row r="12" ht="12" customHeight="1" spans="1:6">
      <c r="A12" s="13" t="s">
        <v>3</v>
      </c>
      <c r="B12" s="14"/>
      <c r="C12" s="58" t="s">
        <v>625</v>
      </c>
      <c r="D12" s="59"/>
      <c r="E12" s="59"/>
      <c r="F12" s="56"/>
    </row>
    <row r="13" ht="14.25" customHeight="1" spans="1:6">
      <c r="A13" s="13" t="s">
        <v>567</v>
      </c>
      <c r="B13" s="14"/>
      <c r="C13" s="6" t="s">
        <v>5</v>
      </c>
      <c r="D13" s="5"/>
      <c r="E13" s="5"/>
    </row>
    <row r="14" ht="15" customHeight="1" spans="1:6">
      <c r="A14" s="7" t="s">
        <v>568</v>
      </c>
      <c r="B14" s="8"/>
      <c r="C14" s="9"/>
      <c r="D14" s="7"/>
      <c r="E14" s="7"/>
    </row>
    <row r="15" ht="15" customHeight="1" spans="1:6">
      <c r="A15" s="116"/>
      <c r="B15" s="117"/>
      <c r="C15" s="6" t="s">
        <v>54</v>
      </c>
      <c r="D15" s="60"/>
      <c r="E15" s="60"/>
    </row>
    <row r="16" ht="14.25" customHeight="1" spans="1:6">
      <c r="A16" s="5" t="s">
        <v>7</v>
      </c>
      <c r="B16" s="10"/>
      <c r="C16" s="58" t="s">
        <v>626</v>
      </c>
      <c r="D16" s="59"/>
      <c r="E16" s="59"/>
    </row>
    <row r="17" ht="14.25" customHeight="1" spans="1:5">
      <c r="A17" s="7" t="s">
        <v>579</v>
      </c>
      <c r="B17" s="8"/>
      <c r="C17" s="61" t="s">
        <v>57</v>
      </c>
      <c r="D17" s="62"/>
      <c r="E17" s="62"/>
    </row>
    <row r="18" ht="14.25" customHeight="1" spans="1:5">
      <c r="A18" s="7" t="s">
        <v>580</v>
      </c>
      <c r="B18" s="8"/>
      <c r="C18" s="63"/>
      <c r="D18" s="13"/>
      <c r="E18" s="13"/>
    </row>
    <row r="19" ht="14.25" customHeight="1" spans="1:5">
      <c r="A19" s="7" t="s">
        <v>581</v>
      </c>
      <c r="B19" s="8"/>
      <c r="C19" s="63"/>
      <c r="D19" s="13"/>
      <c r="E19" s="13"/>
    </row>
    <row r="20" ht="19.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13" t="s">
        <v>627</v>
      </c>
      <c r="B21" s="14"/>
      <c r="C21" s="63"/>
      <c r="D21" s="13"/>
      <c r="E21" s="13"/>
    </row>
    <row r="22" ht="14.25" customHeight="1" spans="1:5">
      <c r="A22" s="13" t="s">
        <v>628</v>
      </c>
      <c r="B22" s="14"/>
      <c r="C22" s="63"/>
      <c r="D22" s="13"/>
      <c r="E22" s="13"/>
    </row>
    <row r="23" ht="14.25" customHeight="1" spans="1:5">
      <c r="A23" s="13" t="s">
        <v>629</v>
      </c>
      <c r="B23" s="14"/>
      <c r="C23" s="63"/>
      <c r="D23" s="13"/>
      <c r="E23" s="13"/>
    </row>
    <row r="24" spans="1:5">
      <c r="A24" s="10" t="s">
        <v>17</v>
      </c>
      <c r="B24" s="18" t="s">
        <v>18</v>
      </c>
      <c r="C24" s="63"/>
      <c r="D24" s="13"/>
      <c r="E24" s="13"/>
    </row>
    <row r="25" ht="13.5" customHeight="1" spans="1:5">
      <c r="A25" s="19" t="s">
        <v>611</v>
      </c>
      <c r="B25" s="19" t="s">
        <v>630</v>
      </c>
      <c r="C25" s="63"/>
      <c r="D25" s="13"/>
      <c r="E25" s="13"/>
    </row>
    <row r="26" ht="16.5" customHeight="1" spans="1:5">
      <c r="A26" s="10" t="s">
        <v>21</v>
      </c>
      <c r="B26" s="18" t="s">
        <v>22</v>
      </c>
      <c r="C26" s="63"/>
      <c r="D26" s="13"/>
      <c r="E26" s="13"/>
    </row>
    <row r="27" spans="1:5">
      <c r="A27" s="21" t="s">
        <v>631</v>
      </c>
      <c r="B27" s="22" t="s">
        <v>632</v>
      </c>
      <c r="C27" s="58"/>
      <c r="D27" s="59"/>
      <c r="E27" s="59"/>
    </row>
    <row r="28" spans="1:5">
      <c r="A28" s="23" t="s">
        <v>24</v>
      </c>
      <c r="B28" s="24" t="s">
        <v>25</v>
      </c>
      <c r="C28" s="25" t="s">
        <v>26</v>
      </c>
      <c r="D28" s="25" t="s">
        <v>27</v>
      </c>
      <c r="E28" s="28" t="s">
        <v>28</v>
      </c>
    </row>
    <row r="29" ht="12" customHeight="1" spans="1:5">
      <c r="A29" s="29"/>
      <c r="B29" s="36"/>
      <c r="C29" s="36" t="s">
        <v>29</v>
      </c>
      <c r="D29" s="36" t="s">
        <v>30</v>
      </c>
      <c r="E29" s="64" t="s">
        <v>31</v>
      </c>
    </row>
    <row r="30" ht="6" customHeight="1" spans="1:5">
      <c r="A30" s="29"/>
      <c r="B30" s="29"/>
      <c r="C30" s="29"/>
      <c r="D30" s="29"/>
      <c r="E30" s="29"/>
    </row>
    <row r="31" ht="11.25" customHeight="1" spans="1:5">
      <c r="A31" s="29"/>
      <c r="B31" s="29"/>
      <c r="C31" s="29"/>
      <c r="D31" s="30" t="s">
        <v>633</v>
      </c>
      <c r="E31" s="30"/>
    </row>
    <row r="32" ht="15" customHeight="1" spans="1:5">
      <c r="A32" s="35" t="s">
        <v>32</v>
      </c>
      <c r="B32" s="135" t="s">
        <v>449</v>
      </c>
      <c r="C32" s="31">
        <v>200.66</v>
      </c>
      <c r="D32" s="65">
        <v>325</v>
      </c>
      <c r="E32" s="66">
        <f>C32*D32</f>
        <v>65214.5</v>
      </c>
    </row>
    <row r="33" ht="15" customHeight="1" spans="1:5">
      <c r="A33" s="35"/>
      <c r="B33" s="135" t="s">
        <v>590</v>
      </c>
      <c r="C33" s="31"/>
      <c r="D33" s="65"/>
      <c r="E33" s="66"/>
    </row>
    <row r="34" ht="15" customHeight="1" spans="1:5">
      <c r="A34" s="34"/>
      <c r="B34" s="136" t="s">
        <v>634</v>
      </c>
      <c r="C34" s="31"/>
      <c r="D34" s="65"/>
      <c r="E34" s="66"/>
    </row>
    <row r="35" ht="15" customHeight="1" spans="1:5">
      <c r="A35" s="34"/>
      <c r="B35" s="135" t="s">
        <v>635</v>
      </c>
      <c r="C35" s="31"/>
      <c r="D35" s="52"/>
      <c r="E35" s="31"/>
    </row>
    <row r="36" ht="15" customHeight="1" spans="1:5">
      <c r="A36" s="34"/>
      <c r="B36" s="34"/>
      <c r="C36" s="31"/>
      <c r="D36" s="52"/>
      <c r="E36" s="31"/>
    </row>
    <row r="37" ht="15" customHeight="1" spans="1:5">
      <c r="A37" s="30" t="s">
        <v>35</v>
      </c>
      <c r="B37" s="30"/>
      <c r="C37" s="36"/>
      <c r="D37" s="35"/>
      <c r="E37" s="35"/>
    </row>
    <row r="38" ht="15" customHeight="1" spans="1:5">
      <c r="A38" s="37"/>
      <c r="B38" s="37"/>
      <c r="C38" s="37"/>
      <c r="D38" s="38"/>
      <c r="E38" s="38"/>
    </row>
    <row r="39" ht="15" customHeight="1" spans="1:5">
      <c r="A39" s="35"/>
      <c r="B39" s="36" t="s">
        <v>36</v>
      </c>
      <c r="C39" s="36">
        <f>SUM(C32:C38)</f>
        <v>200.66</v>
      </c>
      <c r="D39" s="36"/>
      <c r="E39" s="68">
        <f>SUM(E32:E38)</f>
        <v>65214.5</v>
      </c>
    </row>
    <row r="40" ht="15" customHeight="1" spans="1:5">
      <c r="A40" s="35"/>
      <c r="B40" s="36"/>
      <c r="C40" s="36"/>
      <c r="D40" s="36"/>
      <c r="E40" s="36"/>
    </row>
    <row r="41" ht="21.75" customHeight="1" spans="1:5">
      <c r="A41" s="35"/>
      <c r="B41" s="36"/>
      <c r="C41" s="36"/>
      <c r="D41" s="36"/>
      <c r="E41" s="35"/>
    </row>
    <row r="45" spans="1:5">
      <c r="D45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C14:E14"/>
    <mergeCell ref="A15:B15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7:B37"/>
    <mergeCell ref="A38:B38"/>
    <mergeCell ref="C17:E27"/>
    <mergeCell ref="A2:E9"/>
  </mergeCells>
  <printOptions horizontalCentered="1"/>
  <pageMargins left="0.47244094488189" right="0.393700787401575" top="0.984251968503937" bottom="0.984251968503937" header="0.511811023622047" footer="0.511811023622047"/>
  <pageSetup paperSize="9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7"/>
  <sheetViews>
    <sheetView topLeftCell="A4" workbookViewId="0">
      <selection activeCell="A23" sqref="A12:F23"/>
    </sheetView>
  </sheetViews>
  <sheetFormatPr defaultColWidth="9" defaultRowHeight="11.6" outlineLevelCol="6"/>
  <cols>
    <col min="1" max="1" width="19.125" style="1" customWidth="1"/>
    <col min="2" max="2" width="24.5" style="1" customWidth="1"/>
    <col min="3" max="3" width="8.625" style="1" customWidth="1"/>
    <col min="4" max="4" width="10" style="1" customWidth="1"/>
    <col min="5" max="5" width="11.5" style="1" customWidth="1"/>
    <col min="6" max="6" width="17" style="1" customWidth="1"/>
    <col min="7" max="7" width="11.875" style="1" customWidth="1"/>
    <col min="8" max="16384" width="9" style="1"/>
  </cols>
  <sheetData>
    <row r="2" ht="14.25" customHeight="1" spans="1:7">
      <c r="A2" s="2" t="s">
        <v>65</v>
      </c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4.25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2"/>
      <c r="B5" s="2"/>
      <c r="C5" s="2"/>
      <c r="D5" s="2"/>
      <c r="E5" s="2"/>
      <c r="F5" s="2"/>
      <c r="G5" s="3"/>
    </row>
    <row r="6" spans="1:7">
      <c r="A6" s="4"/>
      <c r="B6" s="4"/>
      <c r="C6" s="4"/>
      <c r="D6" s="4"/>
      <c r="E6" s="4"/>
      <c r="F6" s="4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3.5" customHeight="1" spans="1:7">
      <c r="A8" s="13" t="s">
        <v>3</v>
      </c>
      <c r="B8" s="14"/>
      <c r="C8" s="9" t="s">
        <v>625</v>
      </c>
      <c r="D8" s="7"/>
      <c r="E8" s="7"/>
      <c r="F8" s="7"/>
    </row>
    <row r="9" customFormat="1" ht="15" customHeight="1" spans="1:7">
      <c r="A9" s="13" t="s">
        <v>567</v>
      </c>
      <c r="B9" s="14"/>
      <c r="C9" s="9"/>
      <c r="D9" s="7"/>
      <c r="E9" s="7"/>
      <c r="F9" s="7"/>
    </row>
    <row r="10" customFormat="1" ht="15" customHeight="1" spans="1:7">
      <c r="A10" s="7" t="s">
        <v>568</v>
      </c>
      <c r="B10" s="8"/>
      <c r="C10" s="9"/>
      <c r="D10" s="7"/>
      <c r="E10" s="7"/>
      <c r="F10" s="7"/>
    </row>
    <row r="11" customFormat="1" ht="15" customHeight="1" spans="1:7">
      <c r="A11" s="116"/>
      <c r="B11" s="117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636</v>
      </c>
      <c r="D12" s="5"/>
      <c r="E12" s="5"/>
      <c r="F12" s="5"/>
    </row>
    <row r="13" customFormat="1" ht="14.25" customHeight="1" spans="1:7">
      <c r="A13" s="7" t="s">
        <v>579</v>
      </c>
      <c r="B13" s="8"/>
      <c r="C13" s="15"/>
      <c r="D13" s="16"/>
      <c r="E13" s="16"/>
      <c r="F13" s="16"/>
    </row>
    <row r="14" customFormat="1" ht="14.25" customHeight="1" spans="1:7">
      <c r="A14" s="7" t="s">
        <v>580</v>
      </c>
      <c r="B14" s="8"/>
      <c r="C14" s="15"/>
      <c r="D14" s="16"/>
      <c r="E14" s="16"/>
      <c r="F14" s="16"/>
    </row>
    <row r="15" customFormat="1" ht="14.25" customHeight="1" spans="1:7">
      <c r="A15" s="7" t="s">
        <v>581</v>
      </c>
      <c r="B15" s="8"/>
      <c r="C15" s="15"/>
      <c r="D15" s="16"/>
      <c r="E15" s="16"/>
      <c r="F15" s="16"/>
    </row>
    <row r="16" customFormat="1" ht="19.5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13" t="s">
        <v>627</v>
      </c>
      <c r="B17" s="14"/>
      <c r="C17" s="15"/>
      <c r="D17" s="16"/>
      <c r="E17" s="16"/>
      <c r="F17" s="16"/>
    </row>
    <row r="18" customFormat="1" ht="14.25" customHeight="1" spans="1:7">
      <c r="A18" s="13" t="s">
        <v>628</v>
      </c>
      <c r="B18" s="14"/>
      <c r="C18" s="15"/>
      <c r="D18" s="16"/>
      <c r="E18" s="16"/>
      <c r="F18" s="16"/>
    </row>
    <row r="19" customFormat="1" ht="14.25" customHeight="1" spans="1:7">
      <c r="A19" s="13" t="s">
        <v>629</v>
      </c>
      <c r="B19" s="14"/>
      <c r="C19" s="15"/>
      <c r="D19" s="16"/>
      <c r="E19" s="16"/>
      <c r="F19" s="16"/>
    </row>
    <row r="20" customFormat="1" ht="15.75" spans="1:7">
      <c r="A20" s="10" t="s">
        <v>17</v>
      </c>
      <c r="B20" s="18" t="s">
        <v>18</v>
      </c>
      <c r="C20" s="15"/>
      <c r="D20" s="16"/>
      <c r="E20" s="16"/>
      <c r="F20" s="16"/>
    </row>
    <row r="21" customFormat="1" ht="12" customHeight="1" spans="1:7">
      <c r="A21" s="19" t="s">
        <v>611</v>
      </c>
      <c r="B21" s="19" t="s">
        <v>630</v>
      </c>
      <c r="C21" s="15"/>
      <c r="D21" s="16"/>
      <c r="E21" s="16"/>
      <c r="F21" s="16"/>
    </row>
    <row r="22" customFormat="1" ht="16.5" customHeight="1" spans="1:7">
      <c r="A22" s="10" t="s">
        <v>21</v>
      </c>
      <c r="B22" s="18" t="s">
        <v>22</v>
      </c>
      <c r="C22" s="15"/>
      <c r="D22" s="16"/>
      <c r="E22" s="16"/>
      <c r="F22" s="16"/>
    </row>
    <row r="23" customFormat="1" ht="15.75" spans="1:7">
      <c r="A23" s="21" t="s">
        <v>631</v>
      </c>
      <c r="B23" s="22" t="s">
        <v>632</v>
      </c>
      <c r="C23" s="15"/>
      <c r="D23" s="16"/>
      <c r="E23" s="16"/>
      <c r="F23" s="16"/>
    </row>
    <row r="24" customFormat="1" ht="20.25" spans="1:7">
      <c r="A24" s="23" t="s">
        <v>24</v>
      </c>
      <c r="B24" s="24" t="s">
        <v>25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ht="12" customHeight="1" spans="1:7">
      <c r="A26" s="30"/>
      <c r="B26" s="30" t="s">
        <v>449</v>
      </c>
      <c r="C26" s="31"/>
      <c r="D26" s="32"/>
      <c r="E26" s="32"/>
      <c r="F26" s="33"/>
      <c r="G26" s="31"/>
    </row>
    <row r="27" ht="12" customHeight="1" spans="1:7">
      <c r="A27" s="34"/>
      <c r="B27" s="67" t="s">
        <v>637</v>
      </c>
      <c r="C27" s="31"/>
      <c r="D27" s="32"/>
      <c r="E27" s="32"/>
      <c r="F27" s="33"/>
      <c r="G27" s="31"/>
    </row>
    <row r="28" spans="1:7">
      <c r="A28" s="35"/>
      <c r="B28" s="30" t="s">
        <v>451</v>
      </c>
      <c r="C28" s="36"/>
      <c r="D28" s="35"/>
      <c r="E28" s="35"/>
      <c r="F28" s="35"/>
      <c r="G28" s="35"/>
    </row>
    <row r="29" s="67" customFormat="1" ht="11.25" spans="1:7">
      <c r="A29" s="35" t="s">
        <v>595</v>
      </c>
      <c r="B29" s="35"/>
      <c r="C29" s="35"/>
      <c r="D29" s="35"/>
      <c r="E29" s="35"/>
      <c r="F29" s="35"/>
      <c r="G29" s="35"/>
    </row>
    <row r="30" s="67" customFormat="1" ht="10.5" customHeight="1" spans="1:7">
      <c r="A30" s="35"/>
      <c r="B30" s="35" t="s">
        <v>596</v>
      </c>
      <c r="C30" s="35"/>
      <c r="D30" s="129"/>
      <c r="E30" s="35"/>
      <c r="F30" s="35"/>
      <c r="G30" s="35"/>
    </row>
    <row r="31" s="67" customFormat="1" ht="12" customHeight="1" spans="1:7">
      <c r="A31" s="35"/>
      <c r="B31" s="35" t="s">
        <v>638</v>
      </c>
      <c r="C31" s="34"/>
      <c r="D31" s="130">
        <v>21070</v>
      </c>
      <c r="E31" s="131">
        <f t="shared" ref="E31:E40" si="0">D31+110</f>
        <v>21180</v>
      </c>
      <c r="F31" s="36" t="s">
        <v>226</v>
      </c>
      <c r="G31" s="35"/>
    </row>
    <row r="32" s="67" customFormat="1" ht="12" customHeight="1" spans="1:7">
      <c r="A32" s="35"/>
      <c r="B32" s="35" t="s">
        <v>639</v>
      </c>
      <c r="C32" s="34"/>
      <c r="D32" s="130">
        <v>20740</v>
      </c>
      <c r="E32" s="131">
        <f t="shared" si="0"/>
        <v>20850</v>
      </c>
      <c r="F32" s="36" t="s">
        <v>226</v>
      </c>
      <c r="G32" s="35"/>
    </row>
    <row r="33" s="67" customFormat="1" ht="12" customHeight="1" spans="1:7">
      <c r="A33" s="35"/>
      <c r="B33" s="35" t="s">
        <v>640</v>
      </c>
      <c r="C33" s="34"/>
      <c r="D33" s="130">
        <v>20950</v>
      </c>
      <c r="E33" s="131">
        <f t="shared" si="0"/>
        <v>21060</v>
      </c>
      <c r="F33" s="36" t="s">
        <v>226</v>
      </c>
      <c r="G33" s="35"/>
    </row>
    <row r="34" s="67" customFormat="1" ht="11.25" spans="1:7">
      <c r="A34" s="35"/>
      <c r="B34" s="35" t="s">
        <v>641</v>
      </c>
      <c r="C34" s="34"/>
      <c r="D34" s="130">
        <v>20740</v>
      </c>
      <c r="E34" s="131">
        <f t="shared" si="0"/>
        <v>20850</v>
      </c>
      <c r="F34" s="36" t="s">
        <v>226</v>
      </c>
      <c r="G34" s="35"/>
    </row>
    <row r="35" s="67" customFormat="1" ht="11.25" spans="1:7">
      <c r="B35" s="67" t="s">
        <v>642</v>
      </c>
      <c r="D35" s="130">
        <v>20400</v>
      </c>
      <c r="E35" s="131">
        <f t="shared" si="0"/>
        <v>20510</v>
      </c>
      <c r="F35" s="36" t="s">
        <v>226</v>
      </c>
    </row>
    <row r="36" s="67" customFormat="1" ht="12" customHeight="1" spans="1:7">
      <c r="A36" s="35"/>
      <c r="B36" s="35" t="s">
        <v>643</v>
      </c>
      <c r="C36" s="34"/>
      <c r="D36" s="130">
        <v>20280</v>
      </c>
      <c r="E36" s="131">
        <f t="shared" si="0"/>
        <v>20390</v>
      </c>
      <c r="F36" s="36" t="s">
        <v>226</v>
      </c>
      <c r="G36" s="35"/>
    </row>
    <row r="37" s="67" customFormat="1" ht="12" customHeight="1" spans="1:7">
      <c r="A37" s="35"/>
      <c r="B37" s="35" t="s">
        <v>644</v>
      </c>
      <c r="C37" s="34"/>
      <c r="D37" s="130">
        <v>19750</v>
      </c>
      <c r="E37" s="131">
        <f t="shared" si="0"/>
        <v>19860</v>
      </c>
      <c r="F37" s="36" t="s">
        <v>226</v>
      </c>
      <c r="G37" s="35"/>
    </row>
    <row r="38" s="67" customFormat="1" ht="12" customHeight="1" spans="1:7">
      <c r="A38" s="35"/>
      <c r="B38" s="35" t="s">
        <v>645</v>
      </c>
      <c r="C38" s="34"/>
      <c r="D38" s="130">
        <v>19400</v>
      </c>
      <c r="E38" s="131">
        <f t="shared" si="0"/>
        <v>19510</v>
      </c>
      <c r="F38" s="36" t="s">
        <v>226</v>
      </c>
      <c r="G38" s="35"/>
    </row>
    <row r="39" s="67" customFormat="1" ht="11.25" spans="1:7">
      <c r="A39" s="35"/>
      <c r="B39" s="35" t="s">
        <v>646</v>
      </c>
      <c r="D39" s="130">
        <v>18410</v>
      </c>
      <c r="E39" s="131">
        <f t="shared" si="0"/>
        <v>18520</v>
      </c>
      <c r="F39" s="36" t="s">
        <v>226</v>
      </c>
      <c r="G39" s="35"/>
    </row>
    <row r="40" s="67" customFormat="1" ht="11.25" spans="1:7">
      <c r="B40" s="67" t="s">
        <v>647</v>
      </c>
      <c r="D40" s="130">
        <v>18920</v>
      </c>
      <c r="E40" s="131">
        <f t="shared" si="0"/>
        <v>19030</v>
      </c>
      <c r="F40" s="36" t="s">
        <v>226</v>
      </c>
    </row>
    <row r="41" ht="12.35" spans="1:7">
      <c r="A41" s="37"/>
      <c r="B41" s="37"/>
      <c r="C41" s="37"/>
      <c r="D41" s="38"/>
      <c r="E41" s="38"/>
      <c r="F41" s="38"/>
      <c r="G41" s="39"/>
    </row>
    <row r="42" s="128" customFormat="1" ht="12.35" spans="1:7">
      <c r="A42" s="34"/>
      <c r="B42" s="34" t="s">
        <v>36</v>
      </c>
      <c r="C42" s="34">
        <v>10</v>
      </c>
      <c r="D42" s="132" t="s">
        <v>648</v>
      </c>
      <c r="E42" s="132" t="s">
        <v>649</v>
      </c>
      <c r="F42" s="133" t="s">
        <v>465</v>
      </c>
      <c r="G42" s="34"/>
    </row>
    <row r="43" spans="1:7">
      <c r="C43" s="42"/>
      <c r="D43" s="42"/>
      <c r="E43" s="42"/>
      <c r="F43" s="42"/>
      <c r="G43" s="42"/>
    </row>
    <row r="47" spans="1:7">
      <c r="D47" s="43" t="s">
        <v>83</v>
      </c>
      <c r="E47" s="43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5:G25"/>
    <mergeCell ref="A41:B41"/>
    <mergeCell ref="A2:F6"/>
    <mergeCell ref="C12:F23"/>
  </mergeCells>
  <printOptions horizontalCentered="1"/>
  <pageMargins left="0.196850393700787" right="0.196850393700787" top="0.669291338582677" bottom="0.984251968503937" header="0.511811023622047" footer="0.511811023622047"/>
  <pageSetup paperSize="9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4" workbookViewId="0">
      <selection activeCell="A23" sqref="A12:F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51.7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650</v>
      </c>
      <c r="B8" s="14"/>
      <c r="C8" s="9" t="s">
        <v>651</v>
      </c>
      <c r="D8" s="7"/>
      <c r="E8" s="7"/>
      <c r="F8" s="7"/>
    </row>
    <row r="9" customFormat="1" ht="14.25" customHeight="1" spans="1:7">
      <c r="A9" s="13"/>
      <c r="B9" s="14"/>
      <c r="C9" s="9"/>
      <c r="D9" s="7"/>
      <c r="E9" s="7"/>
      <c r="F9" s="7"/>
    </row>
    <row r="10" customFormat="1" ht="15" customHeight="1" spans="1:7">
      <c r="A10" s="7"/>
      <c r="B10" s="8"/>
      <c r="C10" s="9"/>
      <c r="D10" s="7"/>
      <c r="E10" s="7"/>
      <c r="F10" s="7"/>
    </row>
    <row r="11" customFormat="1" ht="15" customHeight="1" spans="1:7">
      <c r="A11" s="5" t="s">
        <v>7</v>
      </c>
      <c r="B11" s="10"/>
      <c r="C11" s="11"/>
      <c r="D11" s="12"/>
      <c r="E11" s="12"/>
      <c r="F11" s="12"/>
    </row>
    <row r="12" customFormat="1" ht="14.25" customHeight="1" spans="1:7">
      <c r="A12" s="13" t="s">
        <v>3</v>
      </c>
      <c r="B12" s="14"/>
      <c r="C12" s="120" t="s">
        <v>652</v>
      </c>
      <c r="D12" s="121"/>
      <c r="E12" s="121"/>
      <c r="F12" s="121"/>
    </row>
    <row r="13" customFormat="1" ht="14.25" customHeight="1" spans="1:7">
      <c r="A13" s="13"/>
      <c r="B13" s="14"/>
      <c r="C13" s="122"/>
      <c r="D13" s="123"/>
      <c r="E13" s="123"/>
      <c r="F13" s="123"/>
    </row>
    <row r="14" customFormat="1" ht="14.25" customHeight="1" spans="1:7">
      <c r="A14" s="7"/>
      <c r="B14" s="8"/>
      <c r="C14" s="122"/>
      <c r="D14" s="123"/>
      <c r="E14" s="123"/>
      <c r="F14" s="123"/>
    </row>
    <row r="15" customFormat="1" ht="14.25" customHeight="1" spans="1:7">
      <c r="A15" s="12"/>
      <c r="B15" s="17"/>
      <c r="C15" s="122"/>
      <c r="D15" s="123"/>
      <c r="E15" s="123"/>
      <c r="F15" s="123"/>
    </row>
    <row r="16" customFormat="1" ht="19.5" customHeight="1" spans="1:7">
      <c r="A16" s="5" t="s">
        <v>653</v>
      </c>
      <c r="B16" s="10"/>
      <c r="C16" s="122"/>
      <c r="D16" s="123"/>
      <c r="E16" s="123"/>
      <c r="F16" s="123"/>
    </row>
    <row r="17" customFormat="1" ht="14.25" customHeight="1" spans="1:7">
      <c r="A17" s="13" t="s">
        <v>3</v>
      </c>
      <c r="B17" s="14"/>
      <c r="C17" s="122"/>
      <c r="D17" s="123"/>
      <c r="E17" s="123"/>
      <c r="F17" s="123"/>
    </row>
    <row r="18" customFormat="1" ht="12.75" customHeight="1" spans="1:7">
      <c r="A18" s="13"/>
      <c r="B18" s="14"/>
      <c r="C18" s="122"/>
      <c r="D18" s="123"/>
      <c r="E18" s="123"/>
      <c r="F18" s="123"/>
    </row>
    <row r="19" customFormat="1" ht="14.25" customHeight="1" spans="1:7">
      <c r="A19" s="7"/>
      <c r="B19" s="8"/>
      <c r="C19" s="122"/>
      <c r="D19" s="123"/>
      <c r="E19" s="123"/>
      <c r="F19" s="123"/>
    </row>
    <row r="20" customFormat="1" ht="15.75" spans="1:7">
      <c r="A20" s="10" t="s">
        <v>17</v>
      </c>
      <c r="B20" s="18" t="s">
        <v>18</v>
      </c>
      <c r="C20" s="122"/>
      <c r="D20" s="123"/>
      <c r="E20" s="123"/>
      <c r="F20" s="123"/>
    </row>
    <row r="21" customFormat="1" ht="12" customHeight="1" spans="1:7">
      <c r="A21" s="20" t="s">
        <v>89</v>
      </c>
      <c r="B21" s="20" t="s">
        <v>654</v>
      </c>
      <c r="C21" s="122"/>
      <c r="D21" s="123"/>
      <c r="E21" s="123"/>
      <c r="F21" s="123"/>
    </row>
    <row r="22" customFormat="1" ht="16.5" customHeight="1" spans="1:7">
      <c r="A22" s="10" t="s">
        <v>21</v>
      </c>
      <c r="B22" s="18" t="s">
        <v>22</v>
      </c>
      <c r="C22" s="122"/>
      <c r="D22" s="123"/>
      <c r="E22" s="123"/>
      <c r="F22" s="123"/>
    </row>
    <row r="23" customFormat="1" ht="15.75" spans="1:7">
      <c r="A23" s="70"/>
      <c r="B23" s="22" t="s">
        <v>655</v>
      </c>
      <c r="C23" s="124"/>
      <c r="D23" s="125"/>
      <c r="E23" s="125"/>
      <c r="F23" s="125"/>
    </row>
    <row r="24" customFormat="1" ht="20.25" spans="1:7">
      <c r="A24" s="23" t="s">
        <v>656</v>
      </c>
      <c r="B24" s="24" t="s">
        <v>657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spans="1:7">
      <c r="A26" s="29"/>
      <c r="B26" s="29"/>
      <c r="C26" s="29"/>
      <c r="D26" s="29" t="s">
        <v>206</v>
      </c>
      <c r="E26" s="29" t="s">
        <v>206</v>
      </c>
      <c r="F26" s="29"/>
      <c r="G26" s="29"/>
    </row>
    <row r="27" ht="12" customHeight="1" spans="1:7">
      <c r="A27" s="34"/>
      <c r="B27" s="30" t="s">
        <v>658</v>
      </c>
      <c r="C27" s="31">
        <v>2</v>
      </c>
      <c r="D27" s="68">
        <v>16</v>
      </c>
      <c r="E27" s="78">
        <v>16.5</v>
      </c>
      <c r="F27" s="33"/>
      <c r="G27" s="31"/>
    </row>
    <row r="28" spans="1:7">
      <c r="A28" s="35"/>
      <c r="B28" s="30"/>
      <c r="C28" s="31"/>
      <c r="D28" s="68"/>
      <c r="E28" s="78"/>
      <c r="F28" s="35"/>
      <c r="G28" s="35"/>
    </row>
    <row r="29" spans="1:7">
      <c r="A29" s="35"/>
      <c r="B29" s="35"/>
      <c r="C29" s="36"/>
      <c r="D29" s="35"/>
      <c r="E29" s="35"/>
      <c r="F29" s="35"/>
      <c r="G29" s="35"/>
    </row>
    <row r="30" ht="12.35" spans="1:7">
      <c r="A30" s="37"/>
      <c r="B30" s="37"/>
      <c r="C30" s="37"/>
      <c r="D30" s="38"/>
      <c r="E30" s="38"/>
      <c r="F30" s="38"/>
      <c r="G30" s="39"/>
    </row>
    <row r="31" ht="12.35" spans="1:7">
      <c r="A31" s="35"/>
      <c r="B31" s="36"/>
      <c r="C31" s="73">
        <v>2</v>
      </c>
      <c r="D31" s="126">
        <f>SUM(D27:D28)</f>
        <v>16</v>
      </c>
      <c r="E31" s="126">
        <f>SUM(E27:E28)</f>
        <v>16.5</v>
      </c>
      <c r="F31" s="40"/>
      <c r="G31" s="35"/>
    </row>
    <row r="32" spans="1:7">
      <c r="A32" s="35"/>
      <c r="B32" s="36"/>
      <c r="C32" s="36"/>
      <c r="D32" s="36"/>
      <c r="E32" s="36"/>
      <c r="F32" s="36"/>
      <c r="G32" s="35"/>
    </row>
    <row r="33" spans="1:7">
      <c r="A33" s="35"/>
      <c r="C33" s="36"/>
      <c r="D33" s="36"/>
      <c r="E33" s="36"/>
      <c r="F33" s="36"/>
      <c r="G33" s="35"/>
    </row>
    <row r="34" ht="15.75" spans="1:7">
      <c r="A34"/>
      <c r="B34" s="41"/>
      <c r="C34" s="35"/>
      <c r="D34" s="35"/>
      <c r="E34" s="35"/>
      <c r="F34" s="35"/>
      <c r="G34" s="35"/>
    </row>
    <row r="35" spans="1:7">
      <c r="A35" s="35" t="s">
        <v>595</v>
      </c>
      <c r="B35" s="41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41"/>
      <c r="B37" s="41"/>
      <c r="C37" s="41"/>
      <c r="D37" s="41"/>
      <c r="E37" s="41"/>
      <c r="F37" s="41"/>
      <c r="G37" s="41"/>
    </row>
    <row r="38" spans="1:7">
      <c r="A38" s="42"/>
      <c r="B38" s="42"/>
      <c r="C38" s="42"/>
      <c r="D38" s="42"/>
      <c r="E38" s="42"/>
      <c r="F38" s="42"/>
      <c r="G38" s="42"/>
    </row>
    <row r="42" ht="15.75" spans="1:7">
      <c r="A42"/>
      <c r="B42"/>
      <c r="C42"/>
      <c r="D42" s="43" t="s">
        <v>83</v>
      </c>
      <c r="E42" s="43"/>
      <c r="F42"/>
      <c r="G42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5:G25"/>
    <mergeCell ref="A30:B30"/>
    <mergeCell ref="A38:G38"/>
    <mergeCell ref="A2:F6"/>
    <mergeCell ref="C12:F23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opLeftCell="A28" workbookViewId="0">
      <selection activeCell="A23" sqref="A17:E27"/>
    </sheetView>
  </sheetViews>
  <sheetFormatPr defaultColWidth="9" defaultRowHeight="15.75" outlineLevelCol="4"/>
  <cols>
    <col min="1" max="1" width="19.87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18.75" customHeight="1" spans="1:5">
      <c r="A10" s="75"/>
    </row>
    <row r="11" ht="15" customHeight="1" spans="1:5">
      <c r="A11" s="5" t="s">
        <v>1</v>
      </c>
      <c r="B11" s="10"/>
      <c r="C11" s="6" t="s">
        <v>2</v>
      </c>
      <c r="D11" s="5"/>
      <c r="E11" s="5"/>
    </row>
    <row r="12" ht="12" customHeight="1" spans="1:5">
      <c r="A12" s="13" t="s">
        <v>650</v>
      </c>
      <c r="B12" s="14"/>
      <c r="C12" s="9" t="s">
        <v>659</v>
      </c>
      <c r="D12" s="7"/>
      <c r="E12" s="7"/>
    </row>
    <row r="13" ht="14.25" customHeight="1" spans="1:5">
      <c r="A13" s="13"/>
      <c r="B13" s="14"/>
      <c r="C13" s="6" t="s">
        <v>5</v>
      </c>
      <c r="D13" s="5"/>
      <c r="E13" s="5"/>
    </row>
    <row r="14" ht="15" customHeight="1" spans="1:5">
      <c r="A14" s="7"/>
      <c r="B14" s="8"/>
      <c r="C14" s="9"/>
      <c r="D14" s="7"/>
      <c r="E14" s="7"/>
    </row>
    <row r="15" ht="15" customHeight="1" spans="1:5">
      <c r="A15" s="5" t="s">
        <v>7</v>
      </c>
      <c r="B15" s="10"/>
      <c r="C15" s="6" t="s">
        <v>54</v>
      </c>
      <c r="D15" s="60"/>
      <c r="E15" s="60"/>
    </row>
    <row r="16" ht="14.25" customHeight="1" spans="1:5">
      <c r="A16" s="13" t="s">
        <v>3</v>
      </c>
      <c r="B16" s="14"/>
      <c r="C16" s="76"/>
      <c r="D16" s="77"/>
      <c r="E16" s="77"/>
    </row>
    <row r="17" ht="14.25" customHeight="1" spans="1:5">
      <c r="A17" s="13"/>
      <c r="B17" s="14"/>
      <c r="C17" s="61" t="s">
        <v>660</v>
      </c>
      <c r="D17" s="62"/>
      <c r="E17" s="62"/>
    </row>
    <row r="18" ht="14.25" customHeight="1" spans="1:5">
      <c r="A18" s="7"/>
      <c r="B18" s="8"/>
      <c r="C18" s="63"/>
      <c r="D18" s="13"/>
      <c r="E18" s="13"/>
    </row>
    <row r="19" ht="14.25" customHeight="1" spans="1:5">
      <c r="A19" s="12"/>
      <c r="B19" s="17"/>
      <c r="C19" s="63"/>
      <c r="D19" s="13"/>
      <c r="E19" s="13"/>
    </row>
    <row r="20" ht="19.5" customHeight="1" spans="1:5">
      <c r="A20" s="5" t="s">
        <v>653</v>
      </c>
      <c r="B20" s="10"/>
      <c r="C20" s="63"/>
      <c r="D20" s="13"/>
      <c r="E20" s="13"/>
    </row>
    <row r="21" ht="14.25" customHeight="1" spans="1:5">
      <c r="A21" s="13" t="s">
        <v>3</v>
      </c>
      <c r="B21" s="14"/>
      <c r="C21" s="63"/>
      <c r="D21" s="13"/>
      <c r="E21" s="13"/>
    </row>
    <row r="22" ht="14.25" customHeight="1" spans="1:5">
      <c r="A22" s="13"/>
      <c r="B22" s="14"/>
      <c r="C22" s="63"/>
      <c r="D22" s="13"/>
      <c r="E22" s="13"/>
    </row>
    <row r="23" ht="14.25" customHeight="1" spans="1:5">
      <c r="A23" s="7"/>
      <c r="B23" s="8"/>
      <c r="C23" s="63"/>
      <c r="D23" s="13"/>
      <c r="E23" s="13"/>
    </row>
    <row r="24" spans="1:5">
      <c r="A24" s="10" t="s">
        <v>17</v>
      </c>
      <c r="B24" s="18" t="s">
        <v>18</v>
      </c>
      <c r="C24" s="63"/>
      <c r="D24" s="13"/>
      <c r="E24" s="13"/>
    </row>
    <row r="25" ht="15" customHeight="1" spans="1:5">
      <c r="A25" s="20" t="s">
        <v>89</v>
      </c>
      <c r="B25" s="20" t="s">
        <v>654</v>
      </c>
      <c r="C25" s="63"/>
      <c r="D25" s="13"/>
      <c r="E25" s="13"/>
    </row>
    <row r="26" ht="16.5" customHeight="1" spans="1:5">
      <c r="A26" s="10" t="s">
        <v>21</v>
      </c>
      <c r="B26" s="18" t="s">
        <v>22</v>
      </c>
      <c r="C26" s="63"/>
      <c r="D26" s="13"/>
      <c r="E26" s="13"/>
    </row>
    <row r="27" spans="1:5">
      <c r="A27" s="70"/>
      <c r="B27" s="22" t="s">
        <v>661</v>
      </c>
      <c r="C27" s="58"/>
      <c r="D27" s="59"/>
      <c r="E27" s="59"/>
    </row>
    <row r="28" ht="21" customHeight="1" spans="1:5">
      <c r="A28" s="23" t="s">
        <v>656</v>
      </c>
      <c r="B28" s="24" t="s">
        <v>657</v>
      </c>
      <c r="C28" s="25" t="s">
        <v>26</v>
      </c>
      <c r="D28" s="25" t="s">
        <v>662</v>
      </c>
      <c r="E28" s="28" t="s">
        <v>28</v>
      </c>
    </row>
    <row r="29" ht="12" customHeight="1" spans="1:5">
      <c r="A29" s="29"/>
      <c r="B29" s="36"/>
      <c r="C29" s="36" t="s">
        <v>162</v>
      </c>
      <c r="D29" s="36" t="s">
        <v>163</v>
      </c>
      <c r="E29" s="64"/>
    </row>
    <row r="30" ht="12" customHeight="1" spans="1:5">
      <c r="A30" s="29"/>
      <c r="B30" s="36"/>
      <c r="C30" s="30" t="s">
        <v>663</v>
      </c>
      <c r="D30" s="30"/>
      <c r="E30" s="30"/>
    </row>
    <row r="31" ht="15" customHeight="1" spans="1:5">
      <c r="A31" s="34"/>
      <c r="B31" s="30" t="s">
        <v>658</v>
      </c>
      <c r="C31" s="36">
        <f>16*1.015</f>
        <v>16.24</v>
      </c>
      <c r="D31" s="78">
        <f>E31/C31</f>
        <v>0.61576354679803</v>
      </c>
      <c r="E31" s="78">
        <v>10</v>
      </c>
    </row>
    <row r="32" ht="15" customHeight="1" spans="1:5">
      <c r="A32" s="34"/>
      <c r="B32" s="30"/>
      <c r="C32" s="31"/>
      <c r="D32" s="52"/>
      <c r="E32" s="31"/>
    </row>
    <row r="33" ht="15" customHeight="1" spans="1:5">
      <c r="A33" s="37"/>
      <c r="B33" s="37"/>
      <c r="C33" s="37"/>
      <c r="D33" s="37"/>
      <c r="E33" s="37"/>
    </row>
    <row r="34" ht="15" customHeight="1" spans="1:5">
      <c r="A34" s="35"/>
      <c r="B34" s="36" t="s">
        <v>36</v>
      </c>
      <c r="C34" s="36">
        <f>SUM(C31:C31)</f>
        <v>16.24</v>
      </c>
      <c r="D34" s="68"/>
      <c r="E34" s="127" t="s">
        <v>664</v>
      </c>
    </row>
    <row r="35" ht="15" customHeight="1" spans="1:5">
      <c r="A35" s="35"/>
      <c r="B35" s="36"/>
      <c r="C35" s="36"/>
      <c r="D35" s="36"/>
      <c r="E35" s="36"/>
    </row>
    <row r="40" spans="1:5">
      <c r="D40" s="55" t="s">
        <v>47</v>
      </c>
    </row>
  </sheetData>
  <mergeCells count="22">
    <mergeCell ref="A11:B11"/>
    <mergeCell ref="C11:E11"/>
    <mergeCell ref="A12:B12"/>
    <mergeCell ref="C12:E12"/>
    <mergeCell ref="A13:B13"/>
    <mergeCell ref="A14:B14"/>
    <mergeCell ref="C14:E14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C30:E30"/>
    <mergeCell ref="A33:B33"/>
    <mergeCell ref="C33:E33"/>
    <mergeCell ref="A2:E9"/>
    <mergeCell ref="C17:E27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opLeftCell="A43" workbookViewId="0">
      <selection activeCell="A23" sqref="A18:E28"/>
    </sheetView>
  </sheetViews>
  <sheetFormatPr defaultColWidth="9" defaultRowHeight="15.75" outlineLevelCol="5"/>
  <cols>
    <col min="1" max="1" width="20.62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6.75" customHeight="1"/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9" t="s">
        <v>665</v>
      </c>
      <c r="D12" s="7"/>
      <c r="E12" s="7"/>
    </row>
    <row r="13" ht="14.25" customHeight="1" spans="1:5">
      <c r="A13" s="13" t="s">
        <v>567</v>
      </c>
      <c r="B13" s="14"/>
      <c r="C13" s="6" t="s">
        <v>5</v>
      </c>
      <c r="D13" s="5"/>
      <c r="E13" s="5"/>
    </row>
    <row r="14" ht="14.25" customHeight="1" spans="1:5">
      <c r="A14" s="7" t="s">
        <v>568</v>
      </c>
      <c r="B14" s="8"/>
      <c r="C14" s="15"/>
      <c r="D14" s="16"/>
      <c r="E14" s="16"/>
    </row>
    <row r="15" ht="15" customHeight="1" spans="1:5">
      <c r="A15" s="7" t="s">
        <v>666</v>
      </c>
      <c r="B15" s="8"/>
      <c r="C15" s="9"/>
      <c r="D15" s="7"/>
      <c r="E15" s="7"/>
    </row>
    <row r="16" ht="15" customHeight="1" spans="1:5">
      <c r="A16" s="5" t="s">
        <v>7</v>
      </c>
      <c r="B16" s="10"/>
      <c r="C16" s="6" t="s">
        <v>54</v>
      </c>
      <c r="D16" s="60"/>
      <c r="E16" s="60"/>
    </row>
    <row r="17" ht="14.25" customHeight="1" spans="1:5">
      <c r="A17" s="13" t="s">
        <v>667</v>
      </c>
      <c r="B17" s="14"/>
      <c r="C17" s="76"/>
      <c r="D17" s="77"/>
      <c r="E17" s="77"/>
    </row>
    <row r="18" ht="14.25" customHeight="1" spans="1:5">
      <c r="A18" s="13"/>
      <c r="B18" s="14"/>
      <c r="C18" s="61" t="s">
        <v>668</v>
      </c>
      <c r="D18" s="62"/>
      <c r="E18" s="62"/>
    </row>
    <row r="19" ht="14.25" customHeight="1" spans="1:5">
      <c r="A19" s="7"/>
      <c r="B19" s="8"/>
      <c r="C19" s="63"/>
      <c r="D19" s="13"/>
      <c r="E19" s="13"/>
    </row>
    <row r="20" ht="14.25" customHeight="1" spans="1:5">
      <c r="A20" s="12"/>
      <c r="B20" s="17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16</v>
      </c>
      <c r="B22" s="14"/>
      <c r="C22" s="63"/>
      <c r="D22" s="13"/>
      <c r="E22" s="13"/>
    </row>
    <row r="23" ht="14.25" customHeight="1" spans="1:5">
      <c r="A23" s="13"/>
      <c r="B23" s="14"/>
      <c r="C23" s="63"/>
      <c r="D23" s="13"/>
      <c r="E23" s="13"/>
    </row>
    <row r="24" ht="14.25" customHeight="1" spans="1:5">
      <c r="A24" s="7"/>
      <c r="B24" s="8"/>
      <c r="C24" s="63"/>
      <c r="D24" s="13"/>
      <c r="E24" s="13"/>
    </row>
    <row r="25" spans="1:5">
      <c r="A25" s="10" t="s">
        <v>17</v>
      </c>
      <c r="B25" s="18" t="s">
        <v>18</v>
      </c>
      <c r="C25" s="63"/>
      <c r="D25" s="13"/>
      <c r="E25" s="13"/>
    </row>
    <row r="26" ht="24" customHeight="1" spans="1:5">
      <c r="A26" s="19" t="s">
        <v>112</v>
      </c>
      <c r="B26" s="20" t="s">
        <v>669</v>
      </c>
      <c r="C26" s="63"/>
      <c r="D26" s="13"/>
      <c r="E26" s="13"/>
    </row>
    <row r="27" ht="16.5" customHeight="1" spans="1:5">
      <c r="A27" s="10" t="s">
        <v>21</v>
      </c>
      <c r="B27" s="18" t="s">
        <v>22</v>
      </c>
      <c r="C27" s="63"/>
      <c r="D27" s="13"/>
      <c r="E27" s="13"/>
    </row>
    <row r="28" spans="1:5">
      <c r="A28" s="21"/>
      <c r="B28" s="22" t="s">
        <v>670</v>
      </c>
      <c r="C28" s="58"/>
      <c r="D28" s="59"/>
      <c r="E28" s="59"/>
    </row>
    <row r="29" spans="1:5">
      <c r="A29" s="23" t="s">
        <v>24</v>
      </c>
      <c r="B29" s="24" t="s">
        <v>25</v>
      </c>
      <c r="C29" s="25" t="s">
        <v>26</v>
      </c>
      <c r="D29" s="25" t="s">
        <v>27</v>
      </c>
      <c r="E29" s="28" t="s">
        <v>28</v>
      </c>
    </row>
    <row r="30" ht="12" customHeight="1" spans="1:5">
      <c r="A30" s="29"/>
      <c r="B30" s="36"/>
      <c r="C30" s="36" t="s">
        <v>206</v>
      </c>
      <c r="D30" s="36" t="s">
        <v>235</v>
      </c>
      <c r="E30" s="64" t="s">
        <v>31</v>
      </c>
    </row>
    <row r="31" ht="6" customHeight="1" spans="1:5">
      <c r="A31" s="29"/>
      <c r="B31" s="29"/>
      <c r="C31" s="29"/>
      <c r="D31" s="29"/>
      <c r="E31" s="29"/>
    </row>
    <row r="32" ht="11.25" customHeight="1" spans="1:5">
      <c r="A32" s="29"/>
      <c r="B32" s="29"/>
      <c r="C32" s="29"/>
      <c r="D32" s="30" t="s">
        <v>671</v>
      </c>
      <c r="E32" s="30"/>
    </row>
    <row r="33" ht="15" customHeight="1" spans="1:6">
      <c r="A33" s="35" t="s">
        <v>32</v>
      </c>
      <c r="B33" s="30" t="s">
        <v>672</v>
      </c>
      <c r="C33" s="31">
        <v>300</v>
      </c>
      <c r="D33" s="65">
        <v>9</v>
      </c>
      <c r="E33" s="66">
        <f>C33*D33</f>
        <v>2700</v>
      </c>
    </row>
    <row r="34" ht="15" customHeight="1" spans="1:6">
      <c r="A34" s="34"/>
      <c r="B34" s="67" t="s">
        <v>673</v>
      </c>
      <c r="C34" s="31"/>
      <c r="D34" s="65"/>
      <c r="E34" s="66"/>
    </row>
    <row r="35" ht="15" customHeight="1" spans="1:6">
      <c r="A35" s="34"/>
      <c r="B35" s="30" t="s">
        <v>674</v>
      </c>
      <c r="C35" s="31"/>
      <c r="D35" s="65"/>
      <c r="E35" s="66"/>
    </row>
    <row r="36" ht="15" customHeight="1" spans="1:6">
      <c r="A36" s="34"/>
      <c r="B36" s="34"/>
      <c r="C36" s="31"/>
      <c r="D36" s="52"/>
      <c r="E36" s="31"/>
    </row>
    <row r="37" ht="15" customHeight="1" spans="1:6">
      <c r="A37" s="34"/>
      <c r="B37" s="34"/>
      <c r="C37" s="31"/>
      <c r="D37" s="52"/>
      <c r="E37" s="31"/>
      <c r="F37" s="53"/>
    </row>
    <row r="38" ht="15" customHeight="1" spans="1:6">
      <c r="A38" s="30" t="s">
        <v>675</v>
      </c>
      <c r="B38" s="30"/>
      <c r="C38" s="36"/>
      <c r="D38" s="35"/>
      <c r="E38" s="35"/>
    </row>
    <row r="39" ht="15" customHeight="1" spans="1:6">
      <c r="A39" s="37"/>
      <c r="B39" s="37"/>
      <c r="C39" s="37"/>
      <c r="D39" s="38"/>
      <c r="E39" s="38"/>
    </row>
    <row r="40" ht="15" customHeight="1" spans="1:6">
      <c r="A40" s="35"/>
      <c r="B40" s="36" t="s">
        <v>36</v>
      </c>
      <c r="C40" s="36">
        <f>SUM(C33:C39)</f>
        <v>300</v>
      </c>
      <c r="D40" s="36"/>
      <c r="E40" s="68">
        <f>SUM(E33:E39)</f>
        <v>2700</v>
      </c>
    </row>
    <row r="41" ht="15" customHeight="1" spans="1:6">
      <c r="A41" s="35"/>
      <c r="B41" s="36"/>
      <c r="C41" s="36"/>
      <c r="D41" s="36"/>
      <c r="E41" s="36"/>
    </row>
    <row r="42" ht="21.75" customHeight="1" spans="1:6">
      <c r="A42" s="35"/>
      <c r="B42" s="36"/>
      <c r="C42" s="36"/>
      <c r="D42" s="36"/>
      <c r="E42" s="35"/>
    </row>
    <row r="43" spans="1:6">
      <c r="A43" s="54"/>
    </row>
    <row r="48" spans="1:6">
      <c r="D48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A15:B15"/>
    <mergeCell ref="C15:E15"/>
    <mergeCell ref="C16:E16"/>
    <mergeCell ref="A17:B17"/>
    <mergeCell ref="C17:E17"/>
    <mergeCell ref="A18:B18"/>
    <mergeCell ref="A19:B19"/>
    <mergeCell ref="A20:B20"/>
    <mergeCell ref="A21:B21"/>
    <mergeCell ref="A22:B22"/>
    <mergeCell ref="A23:B23"/>
    <mergeCell ref="A24:B24"/>
    <mergeCell ref="A31:E31"/>
    <mergeCell ref="D32:E32"/>
    <mergeCell ref="A38:B38"/>
    <mergeCell ref="A39:B39"/>
    <mergeCell ref="C18:E28"/>
    <mergeCell ref="A2:E9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25" workbookViewId="0">
      <selection activeCell="A23" sqref="A12:F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51.7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3</v>
      </c>
      <c r="B8" s="14"/>
      <c r="C8" s="9" t="s">
        <v>665</v>
      </c>
      <c r="D8" s="7"/>
      <c r="E8" s="7"/>
      <c r="F8" s="7"/>
    </row>
    <row r="9" customFormat="1" ht="14.25" customHeight="1" spans="1:7">
      <c r="A9" s="13" t="s">
        <v>567</v>
      </c>
      <c r="B9" s="14"/>
      <c r="C9" s="9"/>
      <c r="D9" s="7"/>
      <c r="E9" s="7"/>
      <c r="F9" s="7"/>
    </row>
    <row r="10" customFormat="1" ht="15" customHeight="1" spans="1:7">
      <c r="A10" s="7" t="s">
        <v>568</v>
      </c>
      <c r="B10" s="8"/>
      <c r="C10" s="9"/>
      <c r="D10" s="7"/>
      <c r="E10" s="7"/>
      <c r="F10" s="7"/>
    </row>
    <row r="11" customFormat="1" ht="15" customHeight="1" spans="1:7">
      <c r="A11" s="7" t="s">
        <v>666</v>
      </c>
      <c r="B11" s="8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676</v>
      </c>
      <c r="D12" s="5"/>
      <c r="E12" s="5"/>
      <c r="F12" s="5"/>
    </row>
    <row r="13" customFormat="1" ht="14.25" customHeight="1" spans="1:7">
      <c r="A13" s="13" t="s">
        <v>667</v>
      </c>
      <c r="B13" s="14"/>
      <c r="C13" s="15"/>
      <c r="D13" s="16"/>
      <c r="E13" s="16"/>
      <c r="F13" s="16"/>
    </row>
    <row r="14" customFormat="1" ht="14.25" customHeight="1" spans="1:7">
      <c r="A14" s="13"/>
      <c r="B14" s="14"/>
      <c r="C14" s="15"/>
      <c r="D14" s="16"/>
      <c r="E14" s="16"/>
      <c r="F14" s="16"/>
    </row>
    <row r="15" customFormat="1" ht="14.25" customHeight="1" spans="1:7">
      <c r="A15" s="7"/>
      <c r="B15" s="8"/>
      <c r="C15" s="15"/>
      <c r="D15" s="16"/>
      <c r="E15" s="16"/>
      <c r="F15" s="16"/>
    </row>
    <row r="16" customFormat="1" ht="19.5" customHeight="1" spans="1:7">
      <c r="A16" s="12"/>
      <c r="B16" s="17"/>
      <c r="C16" s="15"/>
      <c r="D16" s="16"/>
      <c r="E16" s="16"/>
      <c r="F16" s="16"/>
    </row>
    <row r="17" customFormat="1" ht="14.25" customHeight="1" spans="1:7">
      <c r="A17" s="5" t="s">
        <v>15</v>
      </c>
      <c r="B17" s="10"/>
      <c r="C17" s="15"/>
      <c r="D17" s="16"/>
      <c r="E17" s="16"/>
      <c r="F17" s="16"/>
    </row>
    <row r="18" customFormat="1" ht="12.75" customHeight="1" spans="1:7">
      <c r="A18" s="13" t="s">
        <v>16</v>
      </c>
      <c r="B18" s="14"/>
      <c r="C18" s="15"/>
      <c r="D18" s="16"/>
      <c r="E18" s="16"/>
      <c r="F18" s="16"/>
    </row>
    <row r="19" customFormat="1" ht="14.25" customHeight="1" spans="1:7">
      <c r="A19" s="13"/>
      <c r="B19" s="14"/>
      <c r="C19" s="15"/>
      <c r="D19" s="16"/>
      <c r="E19" s="16"/>
      <c r="F19" s="16"/>
    </row>
    <row r="20" customFormat="1" ht="15.75" spans="1:7">
      <c r="A20" s="7"/>
      <c r="B20" s="8"/>
      <c r="C20" s="15"/>
      <c r="D20" s="16"/>
      <c r="E20" s="16"/>
      <c r="F20" s="16"/>
    </row>
    <row r="21" customFormat="1" ht="12" customHeight="1" spans="1:7">
      <c r="A21" s="19" t="s">
        <v>112</v>
      </c>
      <c r="B21" s="20" t="s">
        <v>677</v>
      </c>
      <c r="C21" s="15"/>
      <c r="D21" s="16"/>
      <c r="E21" s="16"/>
      <c r="F21" s="16"/>
    </row>
    <row r="22" customFormat="1" ht="16.5" customHeight="1" spans="1:7">
      <c r="A22" s="10" t="s">
        <v>21</v>
      </c>
      <c r="B22" s="18" t="s">
        <v>22</v>
      </c>
      <c r="C22" s="15"/>
      <c r="D22" s="16"/>
      <c r="E22" s="16"/>
      <c r="F22" s="16"/>
    </row>
    <row r="23" customFormat="1" ht="15.75" spans="1:7">
      <c r="A23" s="21"/>
      <c r="B23" s="22" t="s">
        <v>670</v>
      </c>
      <c r="C23" s="15"/>
      <c r="D23" s="16"/>
      <c r="E23" s="16"/>
      <c r="F23" s="16"/>
    </row>
    <row r="24" customFormat="1" ht="20.25" spans="1:7">
      <c r="A24" s="23" t="s">
        <v>24</v>
      </c>
      <c r="B24" s="24" t="s">
        <v>25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ht="12" customHeight="1" spans="1:7">
      <c r="A26" s="30"/>
      <c r="B26" s="30" t="s">
        <v>672</v>
      </c>
      <c r="C26" s="31" t="s">
        <v>678</v>
      </c>
      <c r="D26" s="118" t="s">
        <v>679</v>
      </c>
      <c r="E26" s="118" t="s">
        <v>680</v>
      </c>
      <c r="F26" s="33" t="s">
        <v>681</v>
      </c>
      <c r="G26" s="31"/>
    </row>
    <row r="27" ht="12" customHeight="1" spans="1:7">
      <c r="A27" s="34"/>
      <c r="B27" s="67" t="s">
        <v>673</v>
      </c>
      <c r="C27" s="31"/>
      <c r="D27" s="32"/>
      <c r="E27" s="32"/>
      <c r="F27" s="33"/>
      <c r="G27" s="31"/>
    </row>
    <row r="28" spans="1:7">
      <c r="A28" s="35"/>
      <c r="B28" s="30" t="s">
        <v>674</v>
      </c>
      <c r="C28" s="36"/>
      <c r="D28" s="35"/>
      <c r="E28" s="35"/>
      <c r="F28" s="35"/>
      <c r="G28" s="35"/>
    </row>
    <row r="29" spans="1:7">
      <c r="A29" s="35"/>
      <c r="B29" s="35"/>
      <c r="C29" s="36"/>
      <c r="D29" s="35"/>
      <c r="E29" s="35"/>
      <c r="F29" s="35"/>
      <c r="G29" s="35"/>
    </row>
    <row r="30" ht="12.35" spans="1:7">
      <c r="A30" s="37"/>
      <c r="B30" s="37"/>
      <c r="C30" s="37"/>
      <c r="D30" s="38"/>
      <c r="E30" s="38"/>
      <c r="F30" s="38"/>
      <c r="G30" s="39"/>
    </row>
    <row r="31" ht="12.35" spans="1:7">
      <c r="A31" s="35"/>
      <c r="B31" s="36"/>
      <c r="C31" s="73" t="str">
        <f>C26</f>
        <v>2DRUMS</v>
      </c>
      <c r="D31" s="73" t="str">
        <f>D26</f>
        <v>300KGS</v>
      </c>
      <c r="E31" s="73" t="str">
        <f>E26</f>
        <v>332KGS</v>
      </c>
      <c r="F31" s="40" t="str">
        <f>F26</f>
        <v>1CBM</v>
      </c>
      <c r="G31" s="35"/>
    </row>
    <row r="32" spans="1:7">
      <c r="A32" s="35"/>
      <c r="B32" s="36"/>
      <c r="C32" s="36"/>
      <c r="D32" s="36"/>
      <c r="E32" s="36"/>
      <c r="F32" s="36"/>
      <c r="G32" s="35"/>
    </row>
    <row r="33" spans="1:7">
      <c r="A33" s="35"/>
      <c r="C33" s="36"/>
      <c r="D33" s="36"/>
      <c r="E33" s="36"/>
      <c r="F33" s="36"/>
      <c r="G33" s="35"/>
    </row>
    <row r="34" ht="15.75" spans="1:7">
      <c r="A34"/>
      <c r="B34" s="41"/>
      <c r="C34" s="35"/>
      <c r="D34" s="35"/>
      <c r="E34" s="35"/>
      <c r="F34" s="35"/>
      <c r="G34" s="35"/>
    </row>
    <row r="35" spans="1:7">
      <c r="A35" s="35" t="s">
        <v>595</v>
      </c>
      <c r="B35" s="41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41"/>
      <c r="B37" s="41"/>
      <c r="C37" s="41"/>
      <c r="D37" s="41"/>
      <c r="E37" s="41"/>
      <c r="F37" s="41"/>
      <c r="G37" s="41"/>
    </row>
    <row r="38" spans="1:7">
      <c r="A38" s="42"/>
      <c r="B38" s="42"/>
      <c r="C38" s="42"/>
      <c r="D38" s="42"/>
      <c r="E38" s="42"/>
      <c r="F38" s="42"/>
      <c r="G38" s="42"/>
    </row>
    <row r="42" ht="15.75" spans="1:7">
      <c r="A42"/>
      <c r="B42"/>
      <c r="C42"/>
      <c r="D42" s="43" t="s">
        <v>83</v>
      </c>
      <c r="E42" s="43"/>
      <c r="F42"/>
      <c r="G42"/>
    </row>
  </sheetData>
  <mergeCells count="23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3:B13"/>
    <mergeCell ref="A14:B14"/>
    <mergeCell ref="A15:B15"/>
    <mergeCell ref="A16:B16"/>
    <mergeCell ref="A17:B17"/>
    <mergeCell ref="A18:B18"/>
    <mergeCell ref="A19:B19"/>
    <mergeCell ref="A20:B20"/>
    <mergeCell ref="A25:G25"/>
    <mergeCell ref="A30:B30"/>
    <mergeCell ref="A38:G38"/>
    <mergeCell ref="A2:F6"/>
    <mergeCell ref="C12:F23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16" workbookViewId="0">
      <selection activeCell="A23" sqref="A12:F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51.7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3</v>
      </c>
      <c r="B8" s="14"/>
      <c r="C8" s="9" t="s">
        <v>682</v>
      </c>
      <c r="D8" s="7"/>
      <c r="E8" s="7"/>
      <c r="F8" s="7"/>
    </row>
    <row r="9" customFormat="1" ht="14.25" customHeight="1" spans="1:7">
      <c r="A9" s="13" t="s">
        <v>567</v>
      </c>
      <c r="B9" s="14"/>
      <c r="C9" s="9"/>
      <c r="D9" s="7"/>
      <c r="E9" s="7"/>
      <c r="F9" s="7"/>
    </row>
    <row r="10" customFormat="1" ht="15" customHeight="1" spans="1:7">
      <c r="A10" s="7" t="s">
        <v>568</v>
      </c>
      <c r="B10" s="8"/>
      <c r="C10" s="9"/>
      <c r="D10" s="7"/>
      <c r="E10" s="7"/>
      <c r="F10" s="7"/>
    </row>
    <row r="11" customFormat="1" ht="15" customHeight="1" spans="1:7">
      <c r="A11" s="7" t="s">
        <v>666</v>
      </c>
      <c r="B11" s="8"/>
      <c r="C11" s="11"/>
      <c r="D11" s="12"/>
      <c r="E11" s="12"/>
      <c r="F11" s="12"/>
    </row>
    <row r="12" customFormat="1" ht="14.25" customHeight="1" spans="1:7">
      <c r="A12" s="5" t="s">
        <v>7</v>
      </c>
      <c r="B12" s="10"/>
      <c r="C12" s="6" t="s">
        <v>676</v>
      </c>
      <c r="D12" s="5"/>
      <c r="E12" s="5"/>
      <c r="F12" s="5"/>
    </row>
    <row r="13" customFormat="1" ht="14.25" customHeight="1" spans="1:7">
      <c r="A13" s="13" t="s">
        <v>683</v>
      </c>
      <c r="B13" s="14"/>
      <c r="C13" s="15"/>
      <c r="D13" s="16"/>
      <c r="E13" s="16"/>
      <c r="F13" s="16"/>
    </row>
    <row r="14" customFormat="1" ht="14.25" customHeight="1" spans="1:7">
      <c r="A14" s="13" t="s">
        <v>684</v>
      </c>
      <c r="B14" s="14"/>
      <c r="C14" s="15"/>
      <c r="D14" s="16"/>
      <c r="E14" s="16"/>
      <c r="F14" s="16"/>
    </row>
    <row r="15" customFormat="1" ht="14.25" customHeight="1" spans="1:7">
      <c r="A15" s="7" t="s">
        <v>685</v>
      </c>
      <c r="B15" s="8"/>
      <c r="C15" s="15"/>
      <c r="D15" s="16"/>
      <c r="E15" s="16"/>
      <c r="F15" s="16"/>
    </row>
    <row r="16" customFormat="1" ht="19.5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13" t="s">
        <v>16</v>
      </c>
      <c r="B17" s="14"/>
      <c r="C17" s="15"/>
      <c r="D17" s="16"/>
      <c r="E17" s="16"/>
      <c r="F17" s="16"/>
    </row>
    <row r="18" customFormat="1" ht="12.75" customHeight="1" spans="1:7">
      <c r="A18" s="13"/>
      <c r="B18" s="14"/>
      <c r="C18" s="15"/>
      <c r="D18" s="16"/>
      <c r="E18" s="16"/>
      <c r="F18" s="16"/>
    </row>
    <row r="19" customFormat="1" ht="14.25" customHeight="1" spans="1:7">
      <c r="A19" s="13"/>
      <c r="B19" s="14"/>
      <c r="C19" s="15"/>
      <c r="D19" s="16"/>
      <c r="E19" s="16"/>
      <c r="F19" s="16"/>
    </row>
    <row r="20" customFormat="1" ht="15.75" spans="1:7">
      <c r="A20" s="10" t="s">
        <v>17</v>
      </c>
      <c r="B20" s="18" t="s">
        <v>18</v>
      </c>
      <c r="C20" s="15"/>
      <c r="D20" s="16"/>
      <c r="E20" s="16"/>
      <c r="F20" s="16"/>
    </row>
    <row r="21" customFormat="1" ht="12" customHeight="1" spans="1:7">
      <c r="A21" s="19" t="s">
        <v>112</v>
      </c>
      <c r="B21" s="20" t="s">
        <v>677</v>
      </c>
      <c r="C21" s="15"/>
      <c r="D21" s="16"/>
      <c r="E21" s="16"/>
      <c r="F21" s="16"/>
    </row>
    <row r="22" customFormat="1" ht="16.5" customHeight="1" spans="1:7">
      <c r="A22" s="10" t="s">
        <v>21</v>
      </c>
      <c r="B22" s="18" t="s">
        <v>22</v>
      </c>
      <c r="C22" s="15"/>
      <c r="D22" s="16"/>
      <c r="E22" s="16"/>
      <c r="F22" s="16"/>
    </row>
    <row r="23" customFormat="1" ht="34.9" spans="1:7">
      <c r="A23" s="21" t="s">
        <v>686</v>
      </c>
      <c r="B23" s="22" t="s">
        <v>687</v>
      </c>
      <c r="C23" s="15"/>
      <c r="D23" s="16"/>
      <c r="E23" s="16"/>
      <c r="F23" s="16"/>
    </row>
    <row r="24" customFormat="1" ht="20.25" spans="1:7">
      <c r="A24" s="23" t="s">
        <v>24</v>
      </c>
      <c r="B24" s="24" t="s">
        <v>25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ht="12" customHeight="1" spans="1:7">
      <c r="A26" s="30"/>
      <c r="B26" s="30" t="s">
        <v>688</v>
      </c>
      <c r="C26" s="31" t="s">
        <v>689</v>
      </c>
      <c r="D26" s="118" t="s">
        <v>690</v>
      </c>
      <c r="E26" s="118" t="s">
        <v>691</v>
      </c>
      <c r="F26" s="33" t="s">
        <v>226</v>
      </c>
      <c r="G26" s="31"/>
    </row>
    <row r="27" ht="12" customHeight="1" spans="1:7">
      <c r="A27" s="34"/>
      <c r="B27" s="67" t="s">
        <v>692</v>
      </c>
      <c r="C27" s="31"/>
      <c r="D27" s="32"/>
      <c r="E27" s="32"/>
      <c r="F27" s="33"/>
      <c r="G27" s="31"/>
    </row>
    <row r="28" spans="1:7">
      <c r="A28" s="35"/>
      <c r="B28" s="30" t="s">
        <v>693</v>
      </c>
      <c r="C28" s="36"/>
      <c r="D28" s="35"/>
      <c r="E28" s="35"/>
      <c r="F28" s="35"/>
      <c r="G28" s="35"/>
    </row>
    <row r="29" spans="1:7">
      <c r="A29" s="35"/>
      <c r="B29" s="35"/>
      <c r="C29" s="36"/>
      <c r="D29" s="35"/>
      <c r="E29" s="35"/>
      <c r="F29" s="35"/>
      <c r="G29" s="35"/>
    </row>
    <row r="30" ht="12.35" spans="1:7">
      <c r="A30" s="37"/>
      <c r="B30" s="37"/>
      <c r="C30" s="37"/>
      <c r="D30" s="38"/>
      <c r="E30" s="38"/>
      <c r="F30" s="38"/>
      <c r="G30" s="39"/>
    </row>
    <row r="31" ht="12.35" spans="1:7">
      <c r="A31" s="35"/>
      <c r="B31" s="36"/>
      <c r="C31" s="73" t="str">
        <f>C26</f>
        <v>80DRUMS</v>
      </c>
      <c r="D31" s="73" t="str">
        <f>D26</f>
        <v>16000KGS</v>
      </c>
      <c r="E31" s="73" t="str">
        <f>E26</f>
        <v>17520KGS</v>
      </c>
      <c r="F31" s="40" t="str">
        <f>F26</f>
        <v>24CBM</v>
      </c>
      <c r="G31" s="35"/>
    </row>
    <row r="32" spans="1:7">
      <c r="A32" s="35"/>
      <c r="B32" s="36"/>
      <c r="C32" s="36"/>
      <c r="D32" s="36"/>
      <c r="E32" s="36"/>
      <c r="F32" s="36"/>
      <c r="G32" s="35"/>
    </row>
    <row r="33" spans="1:7">
      <c r="A33" s="35"/>
      <c r="C33" s="36"/>
      <c r="D33" s="36"/>
      <c r="E33" s="36"/>
      <c r="F33" s="36"/>
      <c r="G33" s="35"/>
    </row>
    <row r="34" ht="15.75" spans="1:7">
      <c r="A34"/>
      <c r="B34" s="41"/>
      <c r="C34" s="35"/>
      <c r="D34" s="35"/>
      <c r="E34" s="35"/>
      <c r="F34" s="35"/>
      <c r="G34" s="35"/>
    </row>
    <row r="35" spans="1:7">
      <c r="A35" s="35" t="s">
        <v>595</v>
      </c>
      <c r="B35" s="41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41"/>
      <c r="B37" s="41"/>
      <c r="C37" s="41"/>
      <c r="D37" s="41"/>
      <c r="E37" s="41"/>
      <c r="F37" s="41"/>
      <c r="G37" s="41"/>
    </row>
    <row r="38" spans="1:7">
      <c r="A38" s="42"/>
      <c r="B38" s="42"/>
      <c r="C38" s="42"/>
      <c r="D38" s="42"/>
      <c r="E38" s="42"/>
      <c r="F38" s="42"/>
      <c r="G38" s="42"/>
    </row>
    <row r="42" ht="15.75" spans="1:7">
      <c r="A42"/>
      <c r="B42"/>
      <c r="C42"/>
      <c r="D42" s="43" t="s">
        <v>83</v>
      </c>
      <c r="E42" s="43"/>
      <c r="F42"/>
      <c r="G42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3:B13"/>
    <mergeCell ref="A14:B14"/>
    <mergeCell ref="A15:B15"/>
    <mergeCell ref="A16:B16"/>
    <mergeCell ref="A17:B17"/>
    <mergeCell ref="A18:B18"/>
    <mergeCell ref="A19:B19"/>
    <mergeCell ref="A25:G25"/>
    <mergeCell ref="A30:B30"/>
    <mergeCell ref="A38:G38"/>
    <mergeCell ref="A2:F6"/>
    <mergeCell ref="C12:F23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opLeftCell="A4" workbookViewId="0">
      <selection activeCell="A23" sqref="A18:E28"/>
    </sheetView>
  </sheetViews>
  <sheetFormatPr defaultColWidth="9" defaultRowHeight="15.75" outlineLevelCol="5"/>
  <cols>
    <col min="1" max="1" width="20.62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6.75" customHeight="1"/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9" t="s">
        <v>682</v>
      </c>
      <c r="D12" s="7"/>
      <c r="E12" s="7"/>
    </row>
    <row r="13" ht="14.25" customHeight="1" spans="1:5">
      <c r="A13" s="13" t="s">
        <v>567</v>
      </c>
      <c r="B13" s="14"/>
      <c r="C13" s="6" t="s">
        <v>5</v>
      </c>
      <c r="D13" s="5"/>
      <c r="E13" s="5"/>
    </row>
    <row r="14" ht="14.25" customHeight="1" spans="1:5">
      <c r="A14" s="7" t="s">
        <v>568</v>
      </c>
      <c r="B14" s="8"/>
      <c r="C14" s="15"/>
      <c r="D14" s="16"/>
      <c r="E14" s="16"/>
    </row>
    <row r="15" ht="15" customHeight="1" spans="1:5">
      <c r="A15" s="7" t="s">
        <v>666</v>
      </c>
      <c r="B15" s="8"/>
      <c r="C15" s="9"/>
      <c r="D15" s="7"/>
      <c r="E15" s="7"/>
    </row>
    <row r="16" ht="15" customHeight="1" spans="1:5">
      <c r="A16" s="5" t="s">
        <v>7</v>
      </c>
      <c r="B16" s="10"/>
      <c r="C16" s="6" t="s">
        <v>54</v>
      </c>
      <c r="D16" s="60"/>
      <c r="E16" s="60"/>
    </row>
    <row r="17" ht="14.25" customHeight="1" spans="1:5">
      <c r="A17" s="13" t="s">
        <v>694</v>
      </c>
      <c r="B17" s="14"/>
      <c r="C17" s="76" t="s">
        <v>695</v>
      </c>
      <c r="D17" s="77"/>
      <c r="E17" s="77"/>
    </row>
    <row r="18" ht="14.25" customHeight="1" spans="1:5">
      <c r="A18" s="13" t="s">
        <v>696</v>
      </c>
      <c r="B18" s="14"/>
      <c r="C18" s="61" t="s">
        <v>668</v>
      </c>
      <c r="D18" s="62"/>
      <c r="E18" s="62"/>
    </row>
    <row r="19" ht="14.25" customHeight="1" spans="1:5">
      <c r="A19" s="7" t="s">
        <v>697</v>
      </c>
      <c r="B19" s="8"/>
      <c r="C19" s="63"/>
      <c r="D19" s="13"/>
      <c r="E19" s="13"/>
    </row>
    <row r="20" ht="14.25" customHeight="1" spans="1:5">
      <c r="A20" s="12"/>
      <c r="B20" s="17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16</v>
      </c>
      <c r="B22" s="14"/>
      <c r="C22" s="63"/>
      <c r="D22" s="13"/>
      <c r="E22" s="13"/>
    </row>
    <row r="23" ht="14.25" customHeight="1" spans="1:5">
      <c r="A23" s="13"/>
      <c r="B23" s="14"/>
      <c r="C23" s="63"/>
      <c r="D23" s="13"/>
      <c r="E23" s="13"/>
    </row>
    <row r="24" ht="14.25" customHeight="1" spans="1:5">
      <c r="A24" s="7"/>
      <c r="B24" s="8"/>
      <c r="C24" s="63"/>
      <c r="D24" s="13"/>
      <c r="E24" s="13"/>
    </row>
    <row r="25" spans="1:5">
      <c r="A25" s="10" t="s">
        <v>17</v>
      </c>
      <c r="B25" s="18" t="s">
        <v>18</v>
      </c>
      <c r="C25" s="63"/>
      <c r="D25" s="13"/>
      <c r="E25" s="13"/>
    </row>
    <row r="26" ht="24" customHeight="1" spans="1:5">
      <c r="A26" s="19" t="s">
        <v>112</v>
      </c>
      <c r="B26" s="20" t="s">
        <v>677</v>
      </c>
      <c r="C26" s="63"/>
      <c r="D26" s="13"/>
      <c r="E26" s="13"/>
    </row>
    <row r="27" ht="16.5" customHeight="1" spans="1:5">
      <c r="A27" s="10" t="s">
        <v>21</v>
      </c>
      <c r="B27" s="18" t="s">
        <v>22</v>
      </c>
      <c r="C27" s="63"/>
      <c r="D27" s="13"/>
      <c r="E27" s="13"/>
    </row>
    <row r="28" ht="34.9" spans="1:5">
      <c r="A28" s="21" t="s">
        <v>686</v>
      </c>
      <c r="B28" s="22" t="s">
        <v>687</v>
      </c>
      <c r="C28" s="58"/>
      <c r="D28" s="59"/>
      <c r="E28" s="59"/>
    </row>
    <row r="29" spans="1:5">
      <c r="A29" s="23" t="s">
        <v>24</v>
      </c>
      <c r="B29" s="24" t="s">
        <v>25</v>
      </c>
      <c r="C29" s="25" t="s">
        <v>26</v>
      </c>
      <c r="D29" s="25" t="s">
        <v>27</v>
      </c>
      <c r="E29" s="28" t="s">
        <v>28</v>
      </c>
    </row>
    <row r="30" ht="12" customHeight="1" spans="1:5">
      <c r="A30" s="29"/>
      <c r="B30" s="36"/>
      <c r="C30" s="36" t="s">
        <v>29</v>
      </c>
      <c r="D30" s="36" t="s">
        <v>698</v>
      </c>
      <c r="E30" s="64" t="s">
        <v>31</v>
      </c>
    </row>
    <row r="31" ht="6" customHeight="1" spans="1:5">
      <c r="A31" s="29"/>
      <c r="B31" s="29"/>
      <c r="C31" s="29"/>
      <c r="D31" s="29"/>
      <c r="E31" s="29"/>
    </row>
    <row r="32" ht="11.25" customHeight="1" spans="1:5">
      <c r="A32" s="29"/>
      <c r="B32" s="29"/>
      <c r="C32" s="29"/>
      <c r="D32" s="30" t="s">
        <v>671</v>
      </c>
      <c r="E32" s="30"/>
    </row>
    <row r="33" ht="15" customHeight="1" spans="1:6">
      <c r="A33" s="35"/>
      <c r="B33" s="30" t="s">
        <v>688</v>
      </c>
      <c r="C33" s="31">
        <v>16</v>
      </c>
      <c r="D33" s="65">
        <v>5560</v>
      </c>
      <c r="E33" s="66">
        <f>C33*D33</f>
        <v>88960</v>
      </c>
    </row>
    <row r="34" ht="15" customHeight="1" spans="1:6">
      <c r="A34" s="34"/>
      <c r="B34" s="67" t="s">
        <v>692</v>
      </c>
      <c r="C34" s="31"/>
      <c r="D34" s="65"/>
      <c r="E34" s="66"/>
    </row>
    <row r="35" ht="15" customHeight="1" spans="1:6">
      <c r="A35" s="34"/>
      <c r="B35" s="30" t="s">
        <v>693</v>
      </c>
      <c r="C35" s="31"/>
      <c r="D35" s="65"/>
      <c r="E35" s="66"/>
    </row>
    <row r="36" ht="15" customHeight="1" spans="1:6">
      <c r="A36" s="34"/>
      <c r="B36" s="34"/>
      <c r="C36" s="31"/>
      <c r="D36" s="52"/>
      <c r="E36" s="31"/>
    </row>
    <row r="37" ht="15" customHeight="1" spans="1:6">
      <c r="A37" s="34"/>
      <c r="B37" s="34"/>
      <c r="C37" s="31"/>
      <c r="D37" s="52"/>
      <c r="E37" s="31"/>
      <c r="F37" s="53"/>
    </row>
    <row r="38" ht="15" customHeight="1" spans="1:6">
      <c r="A38" s="30" t="s">
        <v>675</v>
      </c>
      <c r="B38" s="30"/>
      <c r="C38" s="36"/>
      <c r="D38" s="35"/>
      <c r="E38" s="35"/>
    </row>
    <row r="39" ht="15" customHeight="1" spans="1:6">
      <c r="A39" s="37"/>
      <c r="B39" s="37"/>
      <c r="C39" s="37"/>
      <c r="D39" s="38"/>
      <c r="E39" s="38"/>
    </row>
    <row r="40" ht="15" customHeight="1" spans="1:6">
      <c r="A40" s="35"/>
      <c r="B40" s="36" t="s">
        <v>36</v>
      </c>
      <c r="C40" s="36">
        <f>SUM(C33:C39)</f>
        <v>16</v>
      </c>
      <c r="D40" s="36"/>
      <c r="E40" s="68">
        <f>SUM(E33:E39)</f>
        <v>88960</v>
      </c>
    </row>
    <row r="45" spans="1:6">
      <c r="D45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A15:B15"/>
    <mergeCell ref="C15:E15"/>
    <mergeCell ref="C16:E16"/>
    <mergeCell ref="A17:B17"/>
    <mergeCell ref="C17:E17"/>
    <mergeCell ref="A18:B18"/>
    <mergeCell ref="A19:B19"/>
    <mergeCell ref="A20:B20"/>
    <mergeCell ref="A21:B21"/>
    <mergeCell ref="A22:B22"/>
    <mergeCell ref="A23:B23"/>
    <mergeCell ref="A24:B24"/>
    <mergeCell ref="A31:E31"/>
    <mergeCell ref="D32:E32"/>
    <mergeCell ref="A38:B38"/>
    <mergeCell ref="A39:B39"/>
    <mergeCell ref="A2:E9"/>
    <mergeCell ref="C18:E28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A23" sqref="A12:F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51.7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3</v>
      </c>
      <c r="B8" s="14"/>
      <c r="C8" s="9" t="s">
        <v>699</v>
      </c>
      <c r="D8" s="7"/>
      <c r="E8" s="7"/>
      <c r="F8" s="7"/>
    </row>
    <row r="9" customFormat="1" ht="14.25" customHeight="1" spans="1:7">
      <c r="A9" s="13"/>
      <c r="B9" s="14"/>
      <c r="C9" s="9"/>
      <c r="D9" s="7"/>
      <c r="E9" s="7"/>
      <c r="F9" s="7"/>
    </row>
    <row r="10" customFormat="1" ht="15" customHeight="1" spans="1:7">
      <c r="A10" s="7"/>
      <c r="B10" s="8"/>
      <c r="C10" s="9"/>
      <c r="D10" s="7"/>
      <c r="E10" s="7"/>
      <c r="F10" s="7"/>
    </row>
    <row r="11" customFormat="1" ht="15" customHeight="1" spans="1:7">
      <c r="A11" s="5" t="s">
        <v>7</v>
      </c>
      <c r="B11" s="10"/>
      <c r="C11" s="11"/>
      <c r="D11" s="12"/>
      <c r="E11" s="12"/>
      <c r="F11" s="12"/>
    </row>
    <row r="12" customFormat="1" ht="14.25" customHeight="1" spans="1:7">
      <c r="A12" s="13" t="s">
        <v>700</v>
      </c>
      <c r="B12" s="14"/>
      <c r="C12" s="120" t="s">
        <v>652</v>
      </c>
      <c r="D12" s="121"/>
      <c r="E12" s="121"/>
      <c r="F12" s="121"/>
    </row>
    <row r="13" customFormat="1" ht="14.25" customHeight="1" spans="1:7">
      <c r="A13" s="13"/>
      <c r="B13" s="14"/>
      <c r="C13" s="122"/>
      <c r="D13" s="123"/>
      <c r="E13" s="123"/>
      <c r="F13" s="123"/>
    </row>
    <row r="14" customFormat="1" ht="14.25" customHeight="1" spans="1:7">
      <c r="A14" s="7"/>
      <c r="B14" s="8"/>
      <c r="C14" s="122"/>
      <c r="D14" s="123"/>
      <c r="E14" s="123"/>
      <c r="F14" s="123"/>
    </row>
    <row r="15" customFormat="1" ht="14.25" customHeight="1" spans="1:7">
      <c r="A15" s="12"/>
      <c r="B15" s="17"/>
      <c r="C15" s="122"/>
      <c r="D15" s="123"/>
      <c r="E15" s="123"/>
      <c r="F15" s="123"/>
    </row>
    <row r="16" customFormat="1" ht="19.5" customHeight="1" spans="1:7">
      <c r="A16" s="5" t="s">
        <v>653</v>
      </c>
      <c r="B16" s="10"/>
      <c r="C16" s="122"/>
      <c r="D16" s="123"/>
      <c r="E16" s="123"/>
      <c r="F16" s="123"/>
    </row>
    <row r="17" customFormat="1" ht="14.25" customHeight="1" spans="1:7">
      <c r="A17" s="13" t="s">
        <v>700</v>
      </c>
      <c r="B17" s="14"/>
      <c r="C17" s="122"/>
      <c r="D17" s="123"/>
      <c r="E17" s="123"/>
      <c r="F17" s="123"/>
    </row>
    <row r="18" customFormat="1" ht="12.75" customHeight="1" spans="1:7">
      <c r="A18" s="13"/>
      <c r="B18" s="14"/>
      <c r="C18" s="122"/>
      <c r="D18" s="123"/>
      <c r="E18" s="123"/>
      <c r="F18" s="123"/>
    </row>
    <row r="19" customFormat="1" ht="14.25" customHeight="1" spans="1:7">
      <c r="A19" s="7"/>
      <c r="B19" s="8"/>
      <c r="C19" s="122"/>
      <c r="D19" s="123"/>
      <c r="E19" s="123"/>
      <c r="F19" s="123"/>
    </row>
    <row r="20" customFormat="1" ht="15.75" spans="1:7">
      <c r="A20" s="10" t="s">
        <v>17</v>
      </c>
      <c r="B20" s="18" t="s">
        <v>18</v>
      </c>
      <c r="C20" s="122"/>
      <c r="D20" s="123"/>
      <c r="E20" s="123"/>
      <c r="F20" s="123"/>
    </row>
    <row r="21" customFormat="1" ht="12" customHeight="1" spans="1:7">
      <c r="A21" s="20" t="s">
        <v>701</v>
      </c>
      <c r="B21" s="20" t="s">
        <v>702</v>
      </c>
      <c r="C21" s="122"/>
      <c r="D21" s="123"/>
      <c r="E21" s="123"/>
      <c r="F21" s="123"/>
    </row>
    <row r="22" customFormat="1" ht="16.5" customHeight="1" spans="1:7">
      <c r="A22" s="10" t="s">
        <v>21</v>
      </c>
      <c r="B22" s="18" t="s">
        <v>22</v>
      </c>
      <c r="C22" s="122"/>
      <c r="D22" s="123"/>
      <c r="E22" s="123"/>
      <c r="F22" s="123"/>
    </row>
    <row r="23" customFormat="1" ht="15.75" spans="1:7">
      <c r="A23" s="70"/>
      <c r="B23" s="22"/>
      <c r="C23" s="124"/>
      <c r="D23" s="125"/>
      <c r="E23" s="125"/>
      <c r="F23" s="125"/>
    </row>
    <row r="24" customFormat="1" ht="20.25" spans="1:7">
      <c r="A24" s="23" t="s">
        <v>656</v>
      </c>
      <c r="B24" s="24" t="s">
        <v>657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spans="1:7">
      <c r="A26" s="29"/>
      <c r="B26" s="29"/>
      <c r="C26" s="29"/>
      <c r="D26" s="29" t="s">
        <v>206</v>
      </c>
      <c r="E26" s="29" t="s">
        <v>206</v>
      </c>
      <c r="F26" s="29"/>
      <c r="G26" s="29"/>
    </row>
    <row r="27" ht="12" customHeight="1" spans="1:7">
      <c r="A27" s="30"/>
      <c r="B27" s="30" t="s">
        <v>449</v>
      </c>
      <c r="C27" s="36">
        <v>3</v>
      </c>
      <c r="D27" s="68">
        <v>1.5</v>
      </c>
      <c r="E27" s="78">
        <v>2</v>
      </c>
      <c r="F27" s="33"/>
      <c r="G27" s="31"/>
    </row>
    <row r="28" ht="12" customHeight="1" spans="1:7">
      <c r="A28" s="34"/>
      <c r="B28" s="67"/>
      <c r="C28" s="31"/>
      <c r="D28" s="68"/>
      <c r="E28" s="78">
        <f>C28*1</f>
        <v>0</v>
      </c>
      <c r="F28" s="33"/>
      <c r="G28" s="31"/>
    </row>
    <row r="29" spans="1:7">
      <c r="A29" s="35"/>
      <c r="B29" s="30"/>
      <c r="C29" s="31"/>
      <c r="D29" s="68"/>
      <c r="E29" s="78"/>
      <c r="F29" s="35"/>
      <c r="G29" s="35"/>
    </row>
    <row r="30" spans="1:7">
      <c r="A30" s="35"/>
      <c r="B30" s="35"/>
      <c r="C30" s="36"/>
      <c r="D30" s="35"/>
      <c r="E30" s="35"/>
      <c r="F30" s="35"/>
      <c r="G30" s="35"/>
    </row>
    <row r="31" ht="12.35" spans="1:7">
      <c r="A31" s="37"/>
      <c r="B31" s="37"/>
      <c r="C31" s="37"/>
      <c r="D31" s="38"/>
      <c r="E31" s="38"/>
      <c r="F31" s="38"/>
      <c r="G31" s="39"/>
    </row>
    <row r="32" ht="12.35" spans="1:7">
      <c r="A32" s="35"/>
      <c r="B32" s="36"/>
      <c r="C32" s="73">
        <f>C27</f>
        <v>3</v>
      </c>
      <c r="D32" s="126">
        <f>SUM(D27:D29)</f>
        <v>1.5</v>
      </c>
      <c r="E32" s="126">
        <f>SUM(E27:E29)</f>
        <v>2</v>
      </c>
      <c r="F32" s="40">
        <f>F27</f>
        <v>0</v>
      </c>
      <c r="G32" s="35"/>
    </row>
    <row r="33" spans="1:7">
      <c r="A33" s="35"/>
      <c r="B33" s="36"/>
      <c r="C33" s="36"/>
      <c r="D33" s="36"/>
      <c r="E33" s="36"/>
      <c r="F33" s="36"/>
      <c r="G33" s="35"/>
    </row>
    <row r="34" spans="1:7">
      <c r="A34" s="35"/>
      <c r="C34" s="36"/>
      <c r="D34" s="36"/>
      <c r="E34" s="36"/>
      <c r="F34" s="36"/>
      <c r="G34" s="35"/>
    </row>
    <row r="35" ht="15.75" spans="1:7">
      <c r="A35"/>
      <c r="B35" s="41"/>
      <c r="C35" s="35"/>
      <c r="D35" s="35"/>
      <c r="E35" s="35"/>
      <c r="F35" s="35"/>
      <c r="G35" s="35"/>
    </row>
    <row r="36" spans="1:7">
      <c r="A36" s="35" t="s">
        <v>595</v>
      </c>
      <c r="B36" s="41"/>
      <c r="C36" s="35"/>
      <c r="D36" s="35"/>
      <c r="E36" s="35"/>
      <c r="F36" s="35"/>
      <c r="G36" s="35"/>
    </row>
    <row r="37" spans="1:7">
      <c r="A37" s="35"/>
      <c r="B37" s="35"/>
      <c r="C37" s="35"/>
      <c r="D37" s="35"/>
      <c r="E37" s="35"/>
      <c r="F37" s="35"/>
      <c r="G37" s="35"/>
    </row>
    <row r="38" spans="1:7">
      <c r="A38" s="41"/>
      <c r="B38" s="41"/>
      <c r="C38" s="41"/>
      <c r="D38" s="41"/>
      <c r="E38" s="41"/>
      <c r="F38" s="41"/>
      <c r="G38" s="41"/>
    </row>
    <row r="39" spans="1:7">
      <c r="A39" s="42"/>
      <c r="B39" s="42"/>
      <c r="C39" s="42"/>
      <c r="D39" s="42"/>
      <c r="E39" s="42"/>
      <c r="F39" s="42"/>
      <c r="G39" s="42"/>
    </row>
    <row r="43" ht="15.75" spans="1:7">
      <c r="A43"/>
      <c r="B43"/>
      <c r="C43"/>
      <c r="D43" s="43" t="s">
        <v>83</v>
      </c>
      <c r="E43" s="43"/>
      <c r="F43"/>
      <c r="G43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5:G25"/>
    <mergeCell ref="A31:B31"/>
    <mergeCell ref="A39:G39"/>
    <mergeCell ref="A2:F6"/>
    <mergeCell ref="C12:F23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25" workbookViewId="0">
      <selection activeCell="A23" sqref="A17:E27"/>
    </sheetView>
  </sheetViews>
  <sheetFormatPr defaultColWidth="9" defaultRowHeight="15.75" outlineLevelCol="5"/>
  <cols>
    <col min="1" max="1" width="19.87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18.75" customHeight="1" spans="1:5">
      <c r="A10" s="75"/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9" t="s">
        <v>699</v>
      </c>
      <c r="D12" s="7"/>
      <c r="E12" s="7"/>
    </row>
    <row r="13" ht="14.25" customHeight="1" spans="1:5">
      <c r="A13" s="13"/>
      <c r="B13" s="14"/>
      <c r="C13" s="6" t="s">
        <v>5</v>
      </c>
      <c r="D13" s="5"/>
      <c r="E13" s="5"/>
    </row>
    <row r="14" ht="15" customHeight="1" spans="1:5">
      <c r="A14" s="7"/>
      <c r="B14" s="8"/>
      <c r="C14" s="9"/>
      <c r="D14" s="7"/>
      <c r="E14" s="7"/>
    </row>
    <row r="15" ht="15" customHeight="1" spans="1:5">
      <c r="A15" s="5" t="s">
        <v>7</v>
      </c>
      <c r="B15" s="10"/>
      <c r="C15" s="6" t="s">
        <v>54</v>
      </c>
      <c r="D15" s="60"/>
      <c r="E15" s="60"/>
    </row>
    <row r="16" ht="14.25" customHeight="1" spans="1:5">
      <c r="A16" s="13" t="s">
        <v>700</v>
      </c>
      <c r="B16" s="14"/>
      <c r="C16" s="76"/>
      <c r="D16" s="77"/>
      <c r="E16" s="77"/>
    </row>
    <row r="17" ht="14.25" customHeight="1" spans="1:6">
      <c r="A17" s="13"/>
      <c r="B17" s="14"/>
      <c r="C17" s="61" t="s">
        <v>660</v>
      </c>
      <c r="D17" s="62"/>
      <c r="E17" s="62"/>
    </row>
    <row r="18" ht="14.25" customHeight="1" spans="1:6">
      <c r="A18" s="7"/>
      <c r="B18" s="8"/>
      <c r="C18" s="63"/>
      <c r="D18" s="13"/>
      <c r="E18" s="13"/>
    </row>
    <row r="19" ht="14.25" customHeight="1" spans="1:6">
      <c r="A19" s="12"/>
      <c r="B19" s="17"/>
      <c r="C19" s="63"/>
      <c r="D19" s="13"/>
      <c r="E19" s="13"/>
    </row>
    <row r="20" ht="19.5" customHeight="1" spans="1:6">
      <c r="A20" s="5" t="s">
        <v>653</v>
      </c>
      <c r="B20" s="10"/>
      <c r="C20" s="63"/>
      <c r="D20" s="13"/>
      <c r="E20" s="13"/>
    </row>
    <row r="21" ht="14.25" customHeight="1" spans="1:6">
      <c r="A21" s="13" t="s">
        <v>700</v>
      </c>
      <c r="B21" s="14"/>
      <c r="C21" s="63"/>
      <c r="D21" s="13"/>
      <c r="E21" s="13"/>
    </row>
    <row r="22" ht="14.25" customHeight="1" spans="1:6">
      <c r="A22" s="13"/>
      <c r="B22" s="14"/>
      <c r="C22" s="63"/>
      <c r="D22" s="13"/>
      <c r="E22" s="13"/>
    </row>
    <row r="23" ht="14.25" customHeight="1" spans="1:6">
      <c r="A23" s="7"/>
      <c r="B23" s="8"/>
      <c r="C23" s="63"/>
      <c r="D23" s="13"/>
      <c r="E23" s="13"/>
    </row>
    <row r="24" spans="1:6">
      <c r="A24" s="10" t="s">
        <v>17</v>
      </c>
      <c r="B24" s="18" t="s">
        <v>18</v>
      </c>
      <c r="C24" s="63"/>
      <c r="D24" s="13"/>
      <c r="E24" s="13"/>
    </row>
    <row r="25" ht="15" customHeight="1" spans="1:6">
      <c r="A25" s="20" t="s">
        <v>701</v>
      </c>
      <c r="B25" s="20" t="s">
        <v>703</v>
      </c>
      <c r="C25" s="63"/>
      <c r="D25" s="13"/>
      <c r="E25" s="13"/>
    </row>
    <row r="26" ht="16.5" customHeight="1" spans="1:6">
      <c r="A26" s="10" t="s">
        <v>21</v>
      </c>
      <c r="B26" s="18" t="s">
        <v>22</v>
      </c>
      <c r="C26" s="63"/>
      <c r="D26" s="13"/>
      <c r="E26" s="13"/>
    </row>
    <row r="27" spans="1:6">
      <c r="A27" s="70"/>
      <c r="B27" s="22"/>
      <c r="C27" s="58"/>
      <c r="D27" s="59"/>
      <c r="E27" s="59"/>
    </row>
    <row r="28" ht="21" customHeight="1" spans="1:6">
      <c r="A28" s="23" t="s">
        <v>24</v>
      </c>
      <c r="B28" s="24" t="s">
        <v>25</v>
      </c>
      <c r="C28" s="25" t="s">
        <v>26</v>
      </c>
      <c r="D28" s="25" t="s">
        <v>662</v>
      </c>
      <c r="E28" s="28" t="s">
        <v>28</v>
      </c>
    </row>
    <row r="29" ht="12" customHeight="1" spans="1:6">
      <c r="A29" s="29"/>
      <c r="B29" s="36"/>
      <c r="C29" s="36" t="s">
        <v>206</v>
      </c>
      <c r="D29" s="36"/>
      <c r="E29" s="64"/>
    </row>
    <row r="30" ht="12" customHeight="1" spans="1:6">
      <c r="A30" s="29"/>
      <c r="B30" s="36"/>
      <c r="C30" s="30" t="s">
        <v>704</v>
      </c>
      <c r="D30" s="30"/>
      <c r="E30" s="30"/>
    </row>
    <row r="31" ht="15" customHeight="1" spans="1:6">
      <c r="A31" s="35"/>
      <c r="B31" s="30" t="s">
        <v>449</v>
      </c>
      <c r="C31" s="36">
        <v>100</v>
      </c>
      <c r="D31" s="68">
        <v>510</v>
      </c>
      <c r="E31" s="78">
        <f>C31*D31</f>
        <v>51000</v>
      </c>
      <c r="F31" s="79"/>
    </row>
    <row r="32" ht="15" customHeight="1" spans="1:6">
      <c r="A32" s="34"/>
      <c r="B32" s="67"/>
      <c r="C32" s="31"/>
      <c r="D32" s="68"/>
      <c r="E32" s="78">
        <f>C32*D32</f>
        <v>0</v>
      </c>
    </row>
    <row r="33" ht="15" customHeight="1" spans="1:5">
      <c r="A33" s="34"/>
      <c r="B33" s="30"/>
      <c r="C33" s="31"/>
      <c r="D33" s="68"/>
      <c r="E33" s="78">
        <f>C33*D33</f>
        <v>0</v>
      </c>
    </row>
    <row r="34" ht="15" customHeight="1" spans="1:5">
      <c r="A34" s="34"/>
      <c r="B34" s="30"/>
      <c r="C34" s="31"/>
      <c r="D34" s="52"/>
      <c r="E34" s="31"/>
    </row>
    <row r="35" ht="15" customHeight="1" spans="1:5">
      <c r="A35" s="37"/>
      <c r="B35" s="37"/>
      <c r="C35" s="37"/>
      <c r="D35" s="37"/>
      <c r="E35" s="37"/>
    </row>
    <row r="36" ht="15" customHeight="1" spans="1:5">
      <c r="A36" s="35"/>
      <c r="B36" s="36" t="s">
        <v>36</v>
      </c>
      <c r="C36" s="36" t="s">
        <v>482</v>
      </c>
      <c r="D36" s="68"/>
      <c r="E36" s="78" t="s">
        <v>705</v>
      </c>
    </row>
    <row r="37" ht="15" customHeight="1" spans="1:5">
      <c r="A37" s="35"/>
      <c r="B37" s="36"/>
      <c r="C37" s="36"/>
      <c r="D37" s="36"/>
      <c r="E37" s="36"/>
    </row>
    <row r="42" spans="1:5">
      <c r="D42" s="55" t="s">
        <v>47</v>
      </c>
    </row>
  </sheetData>
  <mergeCells count="22">
    <mergeCell ref="A11:B11"/>
    <mergeCell ref="C11:E11"/>
    <mergeCell ref="A12:B12"/>
    <mergeCell ref="C12:E12"/>
    <mergeCell ref="A13:B13"/>
    <mergeCell ref="A14:B14"/>
    <mergeCell ref="C14:E14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C30:E30"/>
    <mergeCell ref="A35:B35"/>
    <mergeCell ref="C35:E35"/>
    <mergeCell ref="C17:E27"/>
    <mergeCell ref="A2:E9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opLeftCell="A25" workbookViewId="0">
      <selection activeCell="A23" sqref="A17:E27"/>
    </sheetView>
  </sheetViews>
  <sheetFormatPr defaultColWidth="9" defaultRowHeight="15.75" outlineLevelCol="5"/>
  <cols>
    <col min="1" max="1" width="20.62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6.75" customHeight="1"/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706</v>
      </c>
      <c r="B12" s="14"/>
      <c r="C12" s="11" t="s">
        <v>707</v>
      </c>
      <c r="D12" s="12"/>
      <c r="E12" s="12"/>
    </row>
    <row r="13" ht="14.25" customHeight="1" spans="1:5">
      <c r="A13" s="13" t="s">
        <v>708</v>
      </c>
      <c r="B13" s="14"/>
      <c r="C13" s="6" t="s">
        <v>5</v>
      </c>
      <c r="D13" s="5"/>
      <c r="E13" s="5"/>
    </row>
    <row r="14" ht="15" customHeight="1" spans="1:5">
      <c r="A14" s="7"/>
      <c r="B14" s="8"/>
      <c r="C14" s="9"/>
      <c r="D14" s="7"/>
      <c r="E14" s="7"/>
    </row>
    <row r="15" ht="15" customHeight="1" spans="1:5">
      <c r="A15" s="5" t="s">
        <v>7</v>
      </c>
      <c r="B15" s="10"/>
      <c r="C15" s="6" t="s">
        <v>54</v>
      </c>
      <c r="D15" s="60"/>
      <c r="E15" s="60"/>
    </row>
    <row r="16" ht="14.25" customHeight="1" spans="1:5">
      <c r="A16" s="13" t="s">
        <v>709</v>
      </c>
      <c r="B16" s="14"/>
      <c r="C16" s="76" t="s">
        <v>710</v>
      </c>
      <c r="D16" s="77"/>
      <c r="E16" s="77"/>
    </row>
    <row r="17" ht="14.25" customHeight="1" spans="1:5">
      <c r="A17" s="13"/>
      <c r="B17" s="14"/>
      <c r="C17" s="61" t="s">
        <v>711</v>
      </c>
      <c r="D17" s="62"/>
      <c r="E17" s="62"/>
    </row>
    <row r="18" ht="14.25" customHeight="1" spans="1:5">
      <c r="A18" s="7"/>
      <c r="B18" s="8"/>
      <c r="C18" s="63"/>
      <c r="D18" s="13"/>
      <c r="E18" s="13"/>
    </row>
    <row r="19" ht="14.25" customHeight="1" spans="1:5">
      <c r="A19" s="12"/>
      <c r="B19" s="17"/>
      <c r="C19" s="63"/>
      <c r="D19" s="13"/>
      <c r="E19" s="13"/>
    </row>
    <row r="20" ht="12.75" customHeight="1" spans="1:5">
      <c r="A20" s="5" t="s">
        <v>15</v>
      </c>
      <c r="B20" s="10"/>
      <c r="C20" s="63"/>
      <c r="D20" s="13"/>
      <c r="E20" s="13"/>
    </row>
    <row r="21" ht="14.25" customHeight="1" spans="1:5">
      <c r="A21" s="13" t="s">
        <v>712</v>
      </c>
      <c r="B21" s="14"/>
      <c r="C21" s="63"/>
      <c r="D21" s="13"/>
      <c r="E21" s="13"/>
    </row>
    <row r="22" ht="14.25" customHeight="1" spans="1:5">
      <c r="A22" s="13" t="s">
        <v>713</v>
      </c>
      <c r="B22" s="14"/>
      <c r="C22" s="63"/>
      <c r="D22" s="13"/>
      <c r="E22" s="13"/>
    </row>
    <row r="23" ht="14.25" customHeight="1" spans="1:5">
      <c r="A23" s="13" t="s">
        <v>714</v>
      </c>
      <c r="B23" s="14"/>
      <c r="C23" s="63"/>
      <c r="D23" s="13"/>
      <c r="E23" s="13"/>
    </row>
    <row r="24" spans="1:5">
      <c r="A24" s="10" t="s">
        <v>17</v>
      </c>
      <c r="B24" s="18" t="s">
        <v>18</v>
      </c>
      <c r="C24" s="63"/>
      <c r="D24" s="13"/>
      <c r="E24" s="13"/>
    </row>
    <row r="25" ht="24" customHeight="1" spans="1:5">
      <c r="A25" s="19" t="s">
        <v>715</v>
      </c>
      <c r="B25" s="20" t="s">
        <v>716</v>
      </c>
      <c r="C25" s="63"/>
      <c r="D25" s="13"/>
      <c r="E25" s="13"/>
    </row>
    <row r="26" ht="16.5" customHeight="1" spans="1:5">
      <c r="A26" s="10" t="s">
        <v>21</v>
      </c>
      <c r="B26" s="18" t="s">
        <v>22</v>
      </c>
      <c r="C26" s="63"/>
      <c r="D26" s="13"/>
      <c r="E26" s="13"/>
    </row>
    <row r="27" spans="1:5">
      <c r="A27" s="21"/>
      <c r="B27" s="22" t="s">
        <v>717</v>
      </c>
      <c r="C27" s="58"/>
      <c r="D27" s="59"/>
      <c r="E27" s="59"/>
    </row>
    <row r="28" spans="1:5">
      <c r="A28" s="23" t="s">
        <v>24</v>
      </c>
      <c r="B28" s="24" t="s">
        <v>25</v>
      </c>
      <c r="C28" s="25" t="s">
        <v>26</v>
      </c>
      <c r="D28" s="25" t="s">
        <v>27</v>
      </c>
      <c r="E28" s="28" t="s">
        <v>28</v>
      </c>
    </row>
    <row r="29" ht="12" customHeight="1" spans="1:5">
      <c r="A29" s="29"/>
      <c r="B29" s="36"/>
      <c r="C29" s="36" t="s">
        <v>29</v>
      </c>
      <c r="D29" s="36" t="s">
        <v>30</v>
      </c>
      <c r="E29" s="64" t="s">
        <v>31</v>
      </c>
    </row>
    <row r="30" ht="6" customHeight="1" spans="1:5">
      <c r="A30" s="29"/>
      <c r="B30" s="29"/>
      <c r="C30" s="29"/>
      <c r="D30" s="29"/>
      <c r="E30" s="29"/>
    </row>
    <row r="31" ht="11.25" customHeight="1" spans="1:5">
      <c r="A31" s="29"/>
      <c r="B31" s="29"/>
      <c r="C31" s="29"/>
      <c r="D31" s="30" t="s">
        <v>718</v>
      </c>
      <c r="E31" s="30"/>
    </row>
    <row r="32" ht="15" customHeight="1" spans="1:5">
      <c r="A32" s="35" t="s">
        <v>32</v>
      </c>
      <c r="B32" s="30" t="s">
        <v>719</v>
      </c>
      <c r="C32" s="31">
        <v>20</v>
      </c>
      <c r="D32" s="65">
        <v>960</v>
      </c>
      <c r="E32" s="66">
        <f>C32*D32</f>
        <v>19200</v>
      </c>
    </row>
    <row r="33" ht="15" customHeight="1" spans="1:6">
      <c r="A33" s="34"/>
      <c r="B33" s="67" t="s">
        <v>720</v>
      </c>
      <c r="C33" s="31"/>
      <c r="D33" s="65"/>
      <c r="E33" s="66"/>
    </row>
    <row r="34" ht="15" customHeight="1" spans="1:6">
      <c r="A34" s="34"/>
      <c r="B34" s="30" t="s">
        <v>721</v>
      </c>
      <c r="C34" s="31"/>
      <c r="D34" s="65"/>
      <c r="E34" s="66"/>
    </row>
    <row r="35" ht="15" customHeight="1" spans="1:6">
      <c r="A35" s="34"/>
      <c r="B35" s="34"/>
      <c r="C35" s="31"/>
      <c r="D35" s="52"/>
      <c r="E35" s="31"/>
    </row>
    <row r="36" ht="15" customHeight="1" spans="1:6">
      <c r="A36" s="34"/>
      <c r="B36" s="34"/>
      <c r="C36" s="31"/>
      <c r="D36" s="52"/>
      <c r="E36" s="31"/>
      <c r="F36" s="53"/>
    </row>
    <row r="37" ht="15" customHeight="1" spans="1:6">
      <c r="A37" s="30" t="s">
        <v>675</v>
      </c>
      <c r="B37" s="30"/>
      <c r="C37" s="36"/>
      <c r="D37" s="35"/>
      <c r="E37" s="35"/>
    </row>
    <row r="38" ht="15" customHeight="1" spans="1:6">
      <c r="A38" s="37"/>
      <c r="B38" s="37"/>
      <c r="C38" s="37"/>
      <c r="D38" s="38"/>
      <c r="E38" s="38"/>
    </row>
    <row r="39" ht="15" customHeight="1" spans="1:6">
      <c r="A39" s="35"/>
      <c r="B39" s="36" t="s">
        <v>36</v>
      </c>
      <c r="C39" s="36">
        <f>SUM(C32:C38)</f>
        <v>20</v>
      </c>
      <c r="D39" s="36"/>
      <c r="E39" s="68">
        <f>SUM(E32:E38)</f>
        <v>19200</v>
      </c>
    </row>
    <row r="40" ht="15" customHeight="1" spans="1:6">
      <c r="A40" s="35"/>
      <c r="B40" s="36"/>
      <c r="C40" s="36"/>
      <c r="D40" s="36"/>
      <c r="E40" s="36"/>
    </row>
    <row r="41" ht="21.75" customHeight="1" spans="1:6">
      <c r="A41" s="35"/>
      <c r="B41" s="36"/>
      <c r="C41" s="36"/>
      <c r="D41" s="36"/>
      <c r="E41" s="35"/>
    </row>
    <row r="42" spans="1:6">
      <c r="A42" s="54"/>
    </row>
    <row r="47" spans="1:6">
      <c r="D47" s="55" t="s">
        <v>47</v>
      </c>
    </row>
  </sheetData>
  <mergeCells count="23">
    <mergeCell ref="A11:B11"/>
    <mergeCell ref="C11:E11"/>
    <mergeCell ref="A12:B12"/>
    <mergeCell ref="C12:E12"/>
    <mergeCell ref="A13:B13"/>
    <mergeCell ref="A14:B14"/>
    <mergeCell ref="C14:E14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7:B37"/>
    <mergeCell ref="A38:B38"/>
    <mergeCell ref="C17:E27"/>
    <mergeCell ref="A2:E9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opLeftCell="A19" workbookViewId="0">
      <selection activeCell="A23" sqref="A12:F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47.2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706</v>
      </c>
      <c r="B8" s="14"/>
      <c r="C8" s="9" t="s">
        <v>722</v>
      </c>
      <c r="D8" s="7"/>
      <c r="E8" s="7"/>
      <c r="F8" s="7"/>
    </row>
    <row r="9" customFormat="1" ht="14.25" customHeight="1" spans="1:7">
      <c r="A9" s="13" t="s">
        <v>708</v>
      </c>
      <c r="B9" s="14"/>
      <c r="C9" s="9"/>
      <c r="D9" s="7"/>
      <c r="E9" s="7"/>
      <c r="F9" s="7"/>
    </row>
    <row r="10" customFormat="1" ht="15" customHeight="1" spans="1:7">
      <c r="A10" s="7"/>
      <c r="B10" s="8"/>
      <c r="C10" s="9"/>
      <c r="D10" s="7"/>
      <c r="E10" s="7"/>
      <c r="F10" s="7"/>
    </row>
    <row r="11" customFormat="1" ht="15" customHeight="1" spans="1:7">
      <c r="A11" s="5" t="s">
        <v>7</v>
      </c>
      <c r="B11" s="10"/>
      <c r="C11" s="11"/>
      <c r="D11" s="12"/>
      <c r="E11" s="12"/>
      <c r="F11" s="12"/>
    </row>
    <row r="12" customFormat="1" ht="14.25" customHeight="1" spans="1:7">
      <c r="A12" s="13" t="s">
        <v>709</v>
      </c>
      <c r="B12" s="14"/>
      <c r="C12" s="6" t="s">
        <v>723</v>
      </c>
      <c r="D12" s="5"/>
      <c r="E12" s="5"/>
      <c r="F12" s="5"/>
    </row>
    <row r="13" customFormat="1" ht="14.25" customHeight="1" spans="1:7">
      <c r="A13" s="13"/>
      <c r="B13" s="14"/>
      <c r="C13" s="15"/>
      <c r="D13" s="16"/>
      <c r="E13" s="16"/>
      <c r="F13" s="16"/>
    </row>
    <row r="14" customFormat="1" ht="14.25" customHeight="1" spans="1:7">
      <c r="A14" s="7"/>
      <c r="B14" s="8"/>
      <c r="C14" s="15"/>
      <c r="D14" s="16"/>
      <c r="E14" s="16"/>
      <c r="F14" s="16"/>
    </row>
    <row r="15" customFormat="1" ht="14.25" customHeight="1" spans="1:7">
      <c r="A15" s="12"/>
      <c r="B15" s="17"/>
      <c r="C15" s="15"/>
      <c r="D15" s="16"/>
      <c r="E15" s="16"/>
      <c r="F15" s="16"/>
    </row>
    <row r="16" customFormat="1" ht="19.5" customHeight="1" spans="1:7">
      <c r="A16" s="5" t="s">
        <v>15</v>
      </c>
      <c r="B16" s="10"/>
      <c r="C16" s="15"/>
      <c r="D16" s="16"/>
      <c r="E16" s="16"/>
      <c r="F16" s="16"/>
    </row>
    <row r="17" customFormat="1" ht="14.25" customHeight="1" spans="1:7">
      <c r="A17" s="13" t="s">
        <v>712</v>
      </c>
      <c r="B17" s="14"/>
      <c r="C17" s="15"/>
      <c r="D17" s="16"/>
      <c r="E17" s="16"/>
      <c r="F17" s="16"/>
    </row>
    <row r="18" customFormat="1" ht="12.75" customHeight="1" spans="1:7">
      <c r="A18" s="13" t="s">
        <v>724</v>
      </c>
      <c r="B18" s="14"/>
      <c r="C18" s="15"/>
      <c r="D18" s="16"/>
      <c r="E18" s="16"/>
      <c r="F18" s="16"/>
    </row>
    <row r="19" customFormat="1" ht="14.25" customHeight="1" spans="1:7">
      <c r="A19" s="13" t="s">
        <v>714</v>
      </c>
      <c r="B19" s="14"/>
      <c r="C19" s="15"/>
      <c r="D19" s="16"/>
      <c r="E19" s="16"/>
      <c r="F19" s="16"/>
    </row>
    <row r="20" customFormat="1" ht="15.75" spans="1:7">
      <c r="A20" s="10" t="s">
        <v>17</v>
      </c>
      <c r="B20" s="18" t="s">
        <v>18</v>
      </c>
      <c r="C20" s="15"/>
      <c r="D20" s="16"/>
      <c r="E20" s="16"/>
      <c r="F20" s="16"/>
    </row>
    <row r="21" customFormat="1" ht="12" customHeight="1" spans="1:7">
      <c r="A21" s="19" t="s">
        <v>715</v>
      </c>
      <c r="B21" s="20" t="s">
        <v>677</v>
      </c>
      <c r="C21" s="15"/>
      <c r="D21" s="16"/>
      <c r="E21" s="16"/>
      <c r="F21" s="16"/>
    </row>
    <row r="22" customFormat="1" ht="16.5" customHeight="1" spans="1:7">
      <c r="A22" s="10" t="s">
        <v>21</v>
      </c>
      <c r="B22" s="18" t="s">
        <v>22</v>
      </c>
      <c r="C22" s="15"/>
      <c r="D22" s="16"/>
      <c r="E22" s="16"/>
      <c r="F22" s="16"/>
    </row>
    <row r="23" customFormat="1" ht="15.75" spans="1:7">
      <c r="A23" s="21"/>
      <c r="B23" s="22" t="s">
        <v>717</v>
      </c>
      <c r="C23" s="15"/>
      <c r="D23" s="16"/>
      <c r="E23" s="16"/>
      <c r="F23" s="16"/>
    </row>
    <row r="24" customFormat="1" ht="20.25" spans="1:7">
      <c r="A24" s="23" t="s">
        <v>24</v>
      </c>
      <c r="B24" s="24" t="s">
        <v>25</v>
      </c>
      <c r="C24" s="25" t="s">
        <v>71</v>
      </c>
      <c r="D24" s="26" t="s">
        <v>72</v>
      </c>
      <c r="E24" s="27" t="s">
        <v>73</v>
      </c>
      <c r="F24" s="28" t="s">
        <v>103</v>
      </c>
    </row>
    <row r="25" spans="1:7">
      <c r="A25" s="29"/>
      <c r="B25" s="29"/>
      <c r="C25" s="29"/>
      <c r="D25" s="29"/>
      <c r="E25" s="29"/>
      <c r="F25" s="29"/>
      <c r="G25" s="29"/>
    </row>
    <row r="26" ht="12" customHeight="1" spans="1:7">
      <c r="A26" s="30"/>
      <c r="B26" s="30" t="s">
        <v>725</v>
      </c>
      <c r="C26" s="31">
        <v>1</v>
      </c>
      <c r="D26" s="118">
        <v>20000</v>
      </c>
      <c r="E26" s="118">
        <v>20000</v>
      </c>
      <c r="F26" s="33">
        <v>20</v>
      </c>
      <c r="G26" s="31"/>
    </row>
    <row r="27" ht="12" customHeight="1" spans="1:7">
      <c r="A27" s="34"/>
      <c r="B27" s="30" t="s">
        <v>726</v>
      </c>
      <c r="C27" s="31"/>
      <c r="D27" s="32"/>
      <c r="E27" s="32"/>
      <c r="F27" s="33"/>
      <c r="G27" s="31"/>
    </row>
    <row r="28" spans="1:7">
      <c r="A28" s="35"/>
      <c r="B28" s="35" t="s">
        <v>727</v>
      </c>
      <c r="C28" s="36"/>
      <c r="D28" s="35"/>
      <c r="E28" s="35"/>
      <c r="F28" s="35"/>
      <c r="G28" s="35"/>
    </row>
    <row r="29" spans="1:7">
      <c r="A29" s="35"/>
      <c r="B29" s="35"/>
      <c r="C29" s="36"/>
      <c r="D29" s="35"/>
      <c r="E29" s="35"/>
      <c r="F29" s="35"/>
      <c r="G29" s="35"/>
    </row>
    <row r="30" ht="12.35" spans="1:7">
      <c r="A30" s="37"/>
      <c r="B30" s="37"/>
      <c r="C30" s="37"/>
      <c r="D30" s="38"/>
      <c r="E30" s="38"/>
      <c r="F30" s="38"/>
      <c r="G30" s="39"/>
    </row>
    <row r="31" ht="12.35" spans="1:7">
      <c r="A31" s="35"/>
      <c r="B31" s="36"/>
      <c r="C31" s="32">
        <f>C26</f>
        <v>1</v>
      </c>
      <c r="D31" s="32">
        <f>D26</f>
        <v>20000</v>
      </c>
      <c r="E31" s="32">
        <f>E26</f>
        <v>20000</v>
      </c>
      <c r="F31" s="40">
        <f>SUM(F26:F30)</f>
        <v>20</v>
      </c>
      <c r="G31" s="35"/>
    </row>
    <row r="32" spans="1:7">
      <c r="A32" s="35"/>
      <c r="B32" s="36"/>
      <c r="C32" s="36"/>
      <c r="D32" s="36"/>
      <c r="E32" s="36"/>
      <c r="F32" s="36"/>
      <c r="G32" s="35"/>
    </row>
    <row r="33" spans="1:7">
      <c r="A33" s="35"/>
      <c r="C33" s="36"/>
      <c r="D33" s="36"/>
      <c r="E33" s="36"/>
      <c r="F33" s="36"/>
      <c r="G33" s="35"/>
    </row>
    <row r="34" ht="15.75" spans="1:7">
      <c r="A34"/>
      <c r="B34" s="41"/>
      <c r="C34" s="35"/>
      <c r="D34" s="35"/>
      <c r="E34" s="35"/>
      <c r="F34" s="35"/>
      <c r="G34" s="35"/>
    </row>
    <row r="35" spans="1:7">
      <c r="A35" s="35" t="s">
        <v>595</v>
      </c>
      <c r="B35" s="41"/>
      <c r="C35" s="35"/>
      <c r="D35" s="35"/>
      <c r="E35" s="35"/>
      <c r="F35" s="35"/>
      <c r="G35" s="35"/>
    </row>
    <row r="36" spans="1:7">
      <c r="A36" s="35"/>
      <c r="B36" s="35"/>
      <c r="C36" s="35"/>
      <c r="D36" s="35"/>
      <c r="E36" s="35"/>
      <c r="F36" s="35"/>
      <c r="G36" s="35"/>
    </row>
    <row r="37" spans="1:7">
      <c r="A37" s="41"/>
      <c r="B37" s="41"/>
      <c r="C37" s="41"/>
      <c r="D37" s="41"/>
      <c r="E37" s="41"/>
      <c r="F37" s="41"/>
      <c r="G37" s="41"/>
    </row>
    <row r="38" spans="1:7">
      <c r="A38" s="42"/>
      <c r="B38" s="42"/>
      <c r="C38" s="42"/>
      <c r="D38" s="42"/>
      <c r="E38" s="42"/>
      <c r="F38" s="42"/>
      <c r="G38" s="42"/>
    </row>
    <row r="42" ht="15.75" spans="1:7">
      <c r="A42"/>
      <c r="B42"/>
      <c r="C42"/>
      <c r="D42" s="43" t="s">
        <v>83</v>
      </c>
      <c r="E42" s="43"/>
      <c r="F42"/>
      <c r="G42"/>
    </row>
  </sheetData>
  <mergeCells count="22">
    <mergeCell ref="A7:B7"/>
    <mergeCell ref="C7:F7"/>
    <mergeCell ref="A8:B8"/>
    <mergeCell ref="C8:F8"/>
    <mergeCell ref="A9:B9"/>
    <mergeCell ref="C9:F9"/>
    <mergeCell ref="A10:B10"/>
    <mergeCell ref="C10:F10"/>
    <mergeCell ref="C11:F11"/>
    <mergeCell ref="A12:B12"/>
    <mergeCell ref="A13:B13"/>
    <mergeCell ref="A14:B14"/>
    <mergeCell ref="A15:B15"/>
    <mergeCell ref="A16:B16"/>
    <mergeCell ref="A17:B17"/>
    <mergeCell ref="A18:B18"/>
    <mergeCell ref="A19:B19"/>
    <mergeCell ref="A25:G25"/>
    <mergeCell ref="A30:B30"/>
    <mergeCell ref="A38:G38"/>
    <mergeCell ref="C12:F23"/>
    <mergeCell ref="A2:F6"/>
  </mergeCells>
  <pageMargins left="0.393700787401575" right="0.393700787401575" top="0.43" bottom="0.984251968503937" header="0.511811023622047" footer="0.511811023622047"/>
  <pageSetup paperSize="9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selection activeCell="A23" sqref="A18:E28"/>
    </sheetView>
  </sheetViews>
  <sheetFormatPr defaultColWidth="9" defaultRowHeight="15.75" outlineLevelCol="5"/>
  <cols>
    <col min="1" max="1" width="20.625" customWidth="1"/>
    <col min="2" max="2" width="22.25" customWidth="1"/>
    <col min="3" max="3" width="13.75" customWidth="1"/>
    <col min="4" max="4" width="14.125" customWidth="1"/>
    <col min="5" max="5" width="15.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6.75" customHeight="1"/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9" t="s">
        <v>728</v>
      </c>
      <c r="D12" s="7"/>
      <c r="E12" s="7"/>
    </row>
    <row r="13" ht="14.25" customHeight="1" spans="1:5">
      <c r="A13" s="13" t="s">
        <v>436</v>
      </c>
      <c r="B13" s="14"/>
      <c r="C13" s="6" t="s">
        <v>5</v>
      </c>
      <c r="D13" s="5"/>
      <c r="E13" s="5"/>
    </row>
    <row r="14" ht="14.25" customHeight="1" spans="1:5">
      <c r="A14" s="7" t="s">
        <v>437</v>
      </c>
      <c r="B14" s="8"/>
      <c r="C14" s="15"/>
      <c r="D14" s="16"/>
      <c r="E14" s="16"/>
    </row>
    <row r="15" ht="15" customHeight="1" spans="1:5">
      <c r="A15" s="116" t="s">
        <v>438</v>
      </c>
      <c r="B15" s="117"/>
      <c r="C15" s="9"/>
      <c r="D15" s="7"/>
      <c r="E15" s="7"/>
    </row>
    <row r="16" ht="15" customHeight="1" spans="1:5">
      <c r="A16" s="5" t="s">
        <v>7</v>
      </c>
      <c r="B16" s="10"/>
      <c r="C16" s="6" t="s">
        <v>54</v>
      </c>
      <c r="D16" s="60"/>
      <c r="E16" s="60"/>
    </row>
    <row r="17" ht="14.25" customHeight="1" spans="1:5">
      <c r="A17" s="13" t="s">
        <v>729</v>
      </c>
      <c r="B17" s="14"/>
      <c r="C17" s="76" t="s">
        <v>730</v>
      </c>
      <c r="D17" s="77"/>
      <c r="E17" s="77"/>
    </row>
    <row r="18" ht="14.25" customHeight="1" spans="1:5">
      <c r="A18" s="13" t="s">
        <v>731</v>
      </c>
      <c r="B18" s="14"/>
      <c r="C18" s="61" t="s">
        <v>668</v>
      </c>
      <c r="D18" s="62"/>
      <c r="E18" s="62"/>
    </row>
    <row r="19" ht="14.25" customHeight="1" spans="1:5">
      <c r="A19" s="7" t="s">
        <v>305</v>
      </c>
      <c r="B19" s="8"/>
      <c r="C19" s="63"/>
      <c r="D19" s="13"/>
      <c r="E19" s="13"/>
    </row>
    <row r="20" ht="14.25" customHeight="1" spans="1:5">
      <c r="A20" s="12" t="s">
        <v>732</v>
      </c>
      <c r="B20" s="17"/>
      <c r="C20" s="63"/>
      <c r="D20" s="13"/>
      <c r="E20" s="13"/>
    </row>
    <row r="21" ht="19.5" customHeight="1" spans="1:5">
      <c r="A21" s="5" t="s">
        <v>15</v>
      </c>
      <c r="B21" s="10"/>
      <c r="C21" s="63"/>
      <c r="D21" s="13"/>
      <c r="E21" s="13"/>
    </row>
    <row r="22" ht="14.25" customHeight="1" spans="1:5">
      <c r="A22" s="13" t="s">
        <v>16</v>
      </c>
      <c r="B22" s="14"/>
      <c r="C22" s="63"/>
      <c r="D22" s="13"/>
      <c r="E22" s="13"/>
    </row>
    <row r="23" ht="14.25" customHeight="1" spans="1:5">
      <c r="A23" s="13"/>
      <c r="B23" s="14"/>
      <c r="C23" s="63"/>
      <c r="D23" s="13"/>
      <c r="E23" s="13"/>
    </row>
    <row r="24" ht="14.25" customHeight="1" spans="1:5">
      <c r="A24" s="7"/>
      <c r="B24" s="8"/>
      <c r="C24" s="63"/>
      <c r="D24" s="13"/>
      <c r="E24" s="13"/>
    </row>
    <row r="25" spans="1:5">
      <c r="A25" s="10" t="s">
        <v>17</v>
      </c>
      <c r="B25" s="18" t="s">
        <v>18</v>
      </c>
      <c r="C25" s="63"/>
      <c r="D25" s="13"/>
      <c r="E25" s="13"/>
    </row>
    <row r="26" ht="24" customHeight="1" spans="1:5">
      <c r="A26" s="19" t="s">
        <v>112</v>
      </c>
      <c r="B26" s="20" t="s">
        <v>258</v>
      </c>
      <c r="C26" s="63"/>
      <c r="D26" s="13"/>
      <c r="E26" s="13"/>
    </row>
    <row r="27" ht="16.5" customHeight="1" spans="1:5">
      <c r="A27" s="10" t="s">
        <v>21</v>
      </c>
      <c r="B27" s="18" t="s">
        <v>22</v>
      </c>
      <c r="C27" s="63"/>
      <c r="D27" s="13"/>
      <c r="E27" s="13"/>
    </row>
    <row r="28" spans="1:5">
      <c r="A28" s="21" t="s">
        <v>733</v>
      </c>
      <c r="B28" s="22" t="s">
        <v>734</v>
      </c>
      <c r="C28" s="58"/>
      <c r="D28" s="59"/>
      <c r="E28" s="59"/>
    </row>
    <row r="29" spans="1:5">
      <c r="A29" s="23" t="s">
        <v>24</v>
      </c>
      <c r="B29" s="24" t="s">
        <v>25</v>
      </c>
      <c r="C29" s="25" t="s">
        <v>26</v>
      </c>
      <c r="D29" s="25" t="s">
        <v>27</v>
      </c>
      <c r="E29" s="28" t="s">
        <v>28</v>
      </c>
    </row>
    <row r="30" ht="12" customHeight="1" spans="1:5">
      <c r="A30" s="29"/>
      <c r="B30" s="36"/>
      <c r="C30" s="36" t="s">
        <v>29</v>
      </c>
      <c r="D30" s="36" t="s">
        <v>698</v>
      </c>
      <c r="E30" s="64" t="s">
        <v>31</v>
      </c>
    </row>
    <row r="31" ht="6" customHeight="1" spans="1:5">
      <c r="A31" s="29"/>
      <c r="B31" s="29"/>
      <c r="C31" s="29"/>
      <c r="D31" s="29"/>
      <c r="E31" s="29"/>
    </row>
    <row r="32" ht="11.25" customHeight="1" spans="1:5">
      <c r="A32" s="29"/>
      <c r="B32" s="29"/>
      <c r="C32" s="29"/>
      <c r="D32" s="30" t="s">
        <v>735</v>
      </c>
      <c r="E32" s="30"/>
    </row>
    <row r="33" ht="15" customHeight="1" spans="1:6">
      <c r="A33" s="35" t="s">
        <v>32</v>
      </c>
      <c r="B33" s="30" t="s">
        <v>736</v>
      </c>
      <c r="C33" s="31">
        <v>5</v>
      </c>
      <c r="D33" s="65">
        <v>670</v>
      </c>
      <c r="E33" s="66">
        <f>C33*D33</f>
        <v>3350</v>
      </c>
    </row>
    <row r="34" ht="15" customHeight="1" spans="1:6">
      <c r="A34" s="34"/>
      <c r="B34" s="67" t="s">
        <v>737</v>
      </c>
      <c r="C34" s="31"/>
      <c r="D34" s="65"/>
      <c r="E34" s="66"/>
    </row>
    <row r="35" ht="15" customHeight="1" spans="1:6">
      <c r="A35" s="34"/>
      <c r="B35" s="30" t="s">
        <v>738</v>
      </c>
      <c r="C35" s="31"/>
      <c r="D35" s="65"/>
      <c r="E35" s="66"/>
    </row>
    <row r="36" ht="15" customHeight="1" spans="1:6">
      <c r="A36" s="34"/>
      <c r="B36" s="34"/>
      <c r="C36" s="31"/>
      <c r="D36" s="52"/>
      <c r="E36" s="31"/>
    </row>
    <row r="37" ht="15" customHeight="1" spans="1:6">
      <c r="A37" s="34"/>
      <c r="B37" s="34"/>
      <c r="C37" s="31"/>
      <c r="D37" s="52"/>
      <c r="E37" s="31"/>
      <c r="F37" s="53"/>
    </row>
    <row r="38" ht="15" customHeight="1" spans="1:6">
      <c r="A38" s="30" t="s">
        <v>675</v>
      </c>
      <c r="B38" s="30"/>
      <c r="C38" s="36"/>
      <c r="D38" s="35"/>
      <c r="E38" s="35"/>
    </row>
    <row r="39" ht="15" customHeight="1" spans="1:6">
      <c r="A39" s="37"/>
      <c r="B39" s="37"/>
      <c r="C39" s="37"/>
      <c r="D39" s="38"/>
      <c r="E39" s="38"/>
    </row>
    <row r="40" ht="15" customHeight="1" spans="1:6">
      <c r="A40" s="35"/>
      <c r="B40" s="36" t="s">
        <v>36</v>
      </c>
      <c r="C40" s="36" t="s">
        <v>37</v>
      </c>
      <c r="D40" s="36"/>
      <c r="E40" s="68" t="s">
        <v>739</v>
      </c>
    </row>
    <row r="41" ht="15" customHeight="1" spans="1:6">
      <c r="A41" s="35"/>
      <c r="B41" s="36"/>
      <c r="C41" s="36"/>
      <c r="D41" s="36"/>
      <c r="E41" s="36"/>
    </row>
    <row r="42" ht="21.75" customHeight="1" spans="1:6">
      <c r="A42" s="35"/>
      <c r="B42" s="36"/>
      <c r="C42" s="36"/>
      <c r="D42" s="36"/>
      <c r="E42" s="35"/>
    </row>
    <row r="43" spans="1:6">
      <c r="A43" s="54"/>
    </row>
    <row r="48" spans="1:6">
      <c r="D48" s="55" t="s">
        <v>47</v>
      </c>
    </row>
  </sheetData>
  <mergeCells count="24">
    <mergeCell ref="A11:B11"/>
    <mergeCell ref="C11:E11"/>
    <mergeCell ref="A12:B12"/>
    <mergeCell ref="C12:E12"/>
    <mergeCell ref="A13:B13"/>
    <mergeCell ref="A14:B14"/>
    <mergeCell ref="A15:B15"/>
    <mergeCell ref="C15:E15"/>
    <mergeCell ref="C16:E16"/>
    <mergeCell ref="A17:B17"/>
    <mergeCell ref="C17:E17"/>
    <mergeCell ref="A18:B18"/>
    <mergeCell ref="A19:B19"/>
    <mergeCell ref="A20:B20"/>
    <mergeCell ref="A21:B21"/>
    <mergeCell ref="A22:B22"/>
    <mergeCell ref="A23:B23"/>
    <mergeCell ref="A24:B24"/>
    <mergeCell ref="A31:E31"/>
    <mergeCell ref="D32:E32"/>
    <mergeCell ref="A38:B38"/>
    <mergeCell ref="A39:B39"/>
    <mergeCell ref="A2:E9"/>
    <mergeCell ref="C18:E28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workbookViewId="0">
      <selection activeCell="A23" sqref="A13:F24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51.7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21" customHeight="1" spans="1:7">
      <c r="A3" s="46"/>
      <c r="B3" s="46"/>
      <c r="C3" s="46"/>
      <c r="D3" s="46"/>
      <c r="E3" s="46"/>
      <c r="F3" s="46"/>
      <c r="G3" s="3"/>
    </row>
    <row r="4" ht="24.75" customHeight="1" spans="1:7">
      <c r="A4" s="46"/>
      <c r="B4" s="46"/>
      <c r="C4" s="46"/>
      <c r="D4" s="46"/>
      <c r="E4" s="46"/>
      <c r="F4" s="46"/>
      <c r="G4" s="3"/>
    </row>
    <row r="5" ht="12" customHeight="1" spans="1:7">
      <c r="A5" s="46"/>
      <c r="B5" s="46"/>
      <c r="C5" s="46"/>
      <c r="D5" s="46"/>
      <c r="E5" s="46"/>
      <c r="F5" s="46"/>
      <c r="G5" s="3"/>
    </row>
    <row r="6" ht="16.5" customHeight="1" spans="1:7">
      <c r="A6" s="69"/>
      <c r="B6" s="69"/>
      <c r="C6" s="69"/>
      <c r="D6" s="69"/>
      <c r="E6" s="69"/>
      <c r="F6" s="69"/>
      <c r="G6"/>
    </row>
    <row r="7" customFormat="1" ht="15" customHeight="1" spans="1:7">
      <c r="A7" s="5" t="s">
        <v>1</v>
      </c>
      <c r="B7" s="5"/>
      <c r="C7" s="6" t="s">
        <v>2</v>
      </c>
      <c r="D7" s="5"/>
      <c r="E7" s="5"/>
      <c r="F7" s="5"/>
    </row>
    <row r="8" customFormat="1" ht="12" customHeight="1" spans="1:7">
      <c r="A8" s="13" t="s">
        <v>3</v>
      </c>
      <c r="B8" s="14"/>
      <c r="C8" s="9" t="s">
        <v>728</v>
      </c>
      <c r="D8" s="7"/>
      <c r="E8" s="7"/>
      <c r="F8" s="7"/>
    </row>
    <row r="9" customFormat="1" ht="14.25" customHeight="1" spans="1:7">
      <c r="A9" s="13" t="s">
        <v>436</v>
      </c>
      <c r="B9" s="14"/>
      <c r="C9" s="9"/>
      <c r="D9" s="7"/>
      <c r="E9" s="7"/>
      <c r="F9" s="7"/>
    </row>
    <row r="10" customFormat="1" ht="14.25" customHeight="1" spans="1:7">
      <c r="A10" s="7" t="s">
        <v>437</v>
      </c>
      <c r="B10" s="8"/>
      <c r="C10" s="9"/>
      <c r="D10" s="7"/>
      <c r="E10" s="7"/>
      <c r="F10" s="7"/>
    </row>
    <row r="11" customFormat="1" ht="15" customHeight="1" spans="1:7">
      <c r="A11" s="116" t="s">
        <v>438</v>
      </c>
      <c r="B11" s="117"/>
      <c r="C11" s="9"/>
      <c r="D11" s="7"/>
      <c r="E11" s="7"/>
      <c r="F11" s="7"/>
    </row>
    <row r="12" customFormat="1" ht="15" customHeight="1" spans="1:7">
      <c r="A12" s="5" t="s">
        <v>7</v>
      </c>
      <c r="B12" s="10"/>
      <c r="C12" s="11"/>
      <c r="D12" s="12"/>
      <c r="E12" s="12"/>
      <c r="F12" s="12"/>
    </row>
    <row r="13" customFormat="1" ht="14.25" customHeight="1" spans="1:7">
      <c r="A13" s="13" t="s">
        <v>729</v>
      </c>
      <c r="B13" s="14"/>
      <c r="C13" s="6" t="s">
        <v>676</v>
      </c>
      <c r="D13" s="5"/>
      <c r="E13" s="5"/>
      <c r="F13" s="5"/>
    </row>
    <row r="14" customFormat="1" ht="14.25" customHeight="1" spans="1:7">
      <c r="A14" s="13" t="s">
        <v>731</v>
      </c>
      <c r="B14" s="14"/>
      <c r="C14" s="15"/>
      <c r="D14" s="16"/>
      <c r="E14" s="16"/>
      <c r="F14" s="16"/>
    </row>
    <row r="15" customFormat="1" ht="14.25" customHeight="1" spans="1:7">
      <c r="A15" s="7" t="s">
        <v>305</v>
      </c>
      <c r="B15" s="8"/>
      <c r="C15" s="15"/>
      <c r="D15" s="16"/>
      <c r="E15" s="16"/>
      <c r="F15" s="16"/>
    </row>
    <row r="16" customFormat="1" ht="14.25" customHeight="1" spans="1:7">
      <c r="A16" s="12" t="s">
        <v>732</v>
      </c>
      <c r="B16" s="17"/>
      <c r="C16" s="15"/>
      <c r="D16" s="16"/>
      <c r="E16" s="16"/>
      <c r="F16" s="16"/>
    </row>
    <row r="17" customFormat="1" ht="19.5" customHeight="1" spans="1:7">
      <c r="A17" s="5" t="s">
        <v>15</v>
      </c>
      <c r="B17" s="10"/>
      <c r="C17" s="15"/>
      <c r="D17" s="16"/>
      <c r="E17" s="16"/>
      <c r="F17" s="16"/>
    </row>
    <row r="18" customFormat="1" ht="14.25" customHeight="1" spans="1:7">
      <c r="A18" s="13" t="s">
        <v>16</v>
      </c>
      <c r="B18" s="14"/>
      <c r="C18" s="15"/>
      <c r="D18" s="16"/>
      <c r="E18" s="16"/>
      <c r="F18" s="16"/>
    </row>
    <row r="19" customFormat="1" ht="12.75" customHeight="1" spans="1:7">
      <c r="A19" s="13"/>
      <c r="B19" s="14"/>
      <c r="C19" s="15"/>
      <c r="D19" s="16"/>
      <c r="E19" s="16"/>
      <c r="F19" s="16"/>
    </row>
    <row r="20" customFormat="1" ht="14.25" customHeight="1" spans="1:7">
      <c r="A20" s="13"/>
      <c r="B20" s="14"/>
      <c r="C20" s="15"/>
      <c r="D20" s="16"/>
      <c r="E20" s="16"/>
      <c r="F20" s="16"/>
    </row>
    <row r="21" customFormat="1" ht="15.75" spans="1:7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7">
      <c r="A22" s="19" t="s">
        <v>112</v>
      </c>
      <c r="B22" s="20" t="s">
        <v>258</v>
      </c>
      <c r="C22" s="15"/>
      <c r="D22" s="16"/>
      <c r="E22" s="16"/>
      <c r="F22" s="16"/>
    </row>
    <row r="23" customFormat="1" ht="16.5" customHeight="1" spans="1:7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7">
      <c r="A24" s="21" t="s">
        <v>733</v>
      </c>
      <c r="B24" s="22" t="s">
        <v>734</v>
      </c>
      <c r="C24" s="15"/>
      <c r="D24" s="16"/>
      <c r="E24" s="16"/>
      <c r="F24" s="16"/>
    </row>
    <row r="25" customFormat="1" ht="20.25" spans="1:7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7">
      <c r="A26" s="29"/>
      <c r="B26" s="29"/>
      <c r="C26" s="29"/>
      <c r="D26" s="29"/>
      <c r="E26" s="29"/>
      <c r="F26" s="29"/>
      <c r="G26" s="29"/>
    </row>
    <row r="27" ht="12" customHeight="1" spans="1:7">
      <c r="A27" s="30"/>
      <c r="B27" s="30" t="s">
        <v>736</v>
      </c>
      <c r="C27" s="31" t="s">
        <v>740</v>
      </c>
      <c r="D27" s="118" t="s">
        <v>741</v>
      </c>
      <c r="E27" s="118" t="s">
        <v>742</v>
      </c>
      <c r="F27" s="33" t="s">
        <v>743</v>
      </c>
      <c r="G27" s="31"/>
    </row>
    <row r="28" ht="12" customHeight="1" spans="1:7">
      <c r="A28" s="34"/>
      <c r="B28" s="30" t="s">
        <v>744</v>
      </c>
      <c r="C28" s="31"/>
      <c r="D28" s="32"/>
      <c r="E28" s="32"/>
      <c r="F28" s="33"/>
      <c r="G28" s="31"/>
    </row>
    <row r="29" spans="1:7">
      <c r="A29" s="35"/>
      <c r="B29" s="35" t="s">
        <v>745</v>
      </c>
      <c r="C29" s="36"/>
      <c r="D29" s="35"/>
      <c r="E29" s="35"/>
      <c r="F29" s="35"/>
      <c r="G29" s="35"/>
    </row>
    <row r="30" spans="1:7">
      <c r="A30" s="35"/>
      <c r="B30" s="35"/>
      <c r="C30" s="36"/>
      <c r="D30" s="35"/>
      <c r="E30" s="35"/>
      <c r="F30" s="35"/>
      <c r="G30" s="35"/>
    </row>
    <row r="31" ht="12.35" spans="1:7">
      <c r="A31" s="37"/>
      <c r="B31" s="37"/>
      <c r="C31" s="37"/>
      <c r="D31" s="38"/>
      <c r="E31" s="38"/>
      <c r="F31" s="38"/>
      <c r="G31" s="39"/>
    </row>
    <row r="32" ht="12.35" spans="1:7">
      <c r="A32" s="35"/>
      <c r="B32" s="36"/>
      <c r="C32" s="73" t="str">
        <f>C27</f>
        <v>20BAGS</v>
      </c>
      <c r="D32" s="119" t="str">
        <f>D27</f>
        <v>5000KGS</v>
      </c>
      <c r="E32" s="119" t="str">
        <f>E27</f>
        <v>5100KGS</v>
      </c>
      <c r="F32" s="40" t="str">
        <f>F27</f>
        <v>20CBM</v>
      </c>
      <c r="G32" s="35"/>
    </row>
    <row r="33" spans="1:7">
      <c r="A33" s="35"/>
      <c r="B33" s="36"/>
      <c r="C33" s="36"/>
      <c r="D33" s="36"/>
      <c r="E33" s="36"/>
      <c r="F33" s="36"/>
      <c r="G33" s="35"/>
    </row>
    <row r="34" spans="1:7">
      <c r="A34" s="35"/>
      <c r="C34" s="36"/>
      <c r="D34" s="36"/>
      <c r="E34" s="36"/>
      <c r="F34" s="36"/>
      <c r="G34" s="35"/>
    </row>
    <row r="35" ht="15.75" spans="1:7">
      <c r="A35"/>
      <c r="B35" s="41"/>
      <c r="C35" s="35"/>
      <c r="D35" s="35"/>
      <c r="E35" s="35"/>
      <c r="F35" s="35"/>
      <c r="G35" s="35"/>
    </row>
    <row r="36" spans="1:7">
      <c r="A36" s="35" t="s">
        <v>595</v>
      </c>
      <c r="B36" s="41"/>
      <c r="C36" s="35"/>
      <c r="D36" s="35"/>
      <c r="E36" s="35"/>
      <c r="F36" s="35"/>
      <c r="G36" s="35"/>
    </row>
    <row r="37" spans="1:7">
      <c r="A37" s="35"/>
      <c r="B37" s="35"/>
      <c r="C37" s="35"/>
      <c r="D37" s="35"/>
      <c r="E37" s="35"/>
      <c r="F37" s="35"/>
      <c r="G37" s="35"/>
    </row>
    <row r="38" spans="1:7">
      <c r="A38" s="41"/>
      <c r="B38" s="41"/>
      <c r="C38" s="41"/>
      <c r="D38" s="41"/>
      <c r="E38" s="41"/>
      <c r="F38" s="41"/>
      <c r="G38" s="41"/>
    </row>
    <row r="39" spans="1:7">
      <c r="A39" s="42"/>
      <c r="B39" s="42"/>
      <c r="C39" s="42"/>
      <c r="D39" s="42"/>
      <c r="E39" s="42"/>
      <c r="F39" s="42"/>
      <c r="G39" s="42"/>
    </row>
    <row r="43" ht="15.75" spans="1:7">
      <c r="A43"/>
      <c r="B43"/>
      <c r="C43"/>
      <c r="D43" s="43" t="s">
        <v>83</v>
      </c>
      <c r="E43" s="43"/>
      <c r="F43"/>
      <c r="G43"/>
    </row>
  </sheetData>
  <mergeCells count="23">
    <mergeCell ref="A7:B7"/>
    <mergeCell ref="C7:F7"/>
    <mergeCell ref="A8:B8"/>
    <mergeCell ref="C8:F8"/>
    <mergeCell ref="A9:B9"/>
    <mergeCell ref="C9:F9"/>
    <mergeCell ref="A10:B10"/>
    <mergeCell ref="A11:B11"/>
    <mergeCell ref="C11:F11"/>
    <mergeCell ref="C12:F12"/>
    <mergeCell ref="A13:B13"/>
    <mergeCell ref="A14:B14"/>
    <mergeCell ref="A15:B15"/>
    <mergeCell ref="A16:B16"/>
    <mergeCell ref="A17:B17"/>
    <mergeCell ref="A18:B18"/>
    <mergeCell ref="A19:B19"/>
    <mergeCell ref="A20:B20"/>
    <mergeCell ref="A26:G26"/>
    <mergeCell ref="A31:B31"/>
    <mergeCell ref="A39:G39"/>
    <mergeCell ref="A2:F6"/>
    <mergeCell ref="C13:F24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10" workbookViewId="0">
      <selection activeCell="A23" sqref="A17:E27"/>
    </sheetView>
  </sheetViews>
  <sheetFormatPr defaultColWidth="9" defaultRowHeight="15.75" outlineLevelCol="6"/>
  <cols>
    <col min="1" max="1" width="20.625" style="81" customWidth="1"/>
    <col min="2" max="2" width="22.25" style="81" customWidth="1"/>
    <col min="3" max="3" width="13.75" style="81" customWidth="1"/>
    <col min="4" max="4" width="14.125" style="81" customWidth="1"/>
    <col min="5" max="5" width="15.5" style="81" customWidth="1"/>
    <col min="6" max="6" width="9" style="81"/>
    <col min="7" max="7" width="22.875" style="81" customWidth="1"/>
    <col min="8" max="16384" width="9" style="81"/>
  </cols>
  <sheetData>
    <row r="1" s="80" customFormat="1" ht="47.25" customHeight="1" spans="1:5">
      <c r="A1" s="82"/>
      <c r="B1" s="82"/>
      <c r="C1" s="82"/>
      <c r="D1" s="82"/>
      <c r="E1" s="82"/>
    </row>
    <row r="2" ht="14.25" customHeight="1" spans="1:5">
      <c r="A2" s="83" t="s">
        <v>0</v>
      </c>
      <c r="B2" s="83"/>
      <c r="C2" s="83"/>
      <c r="D2" s="83"/>
      <c r="E2" s="83"/>
    </row>
    <row r="3" ht="21" customHeight="1" spans="1:5">
      <c r="A3" s="83"/>
      <c r="B3" s="83"/>
      <c r="C3" s="83"/>
      <c r="D3" s="83"/>
      <c r="E3" s="83"/>
    </row>
    <row r="4" ht="24" customHeight="1" spans="1:5">
      <c r="A4" s="83"/>
      <c r="B4" s="83"/>
      <c r="C4" s="83"/>
      <c r="D4" s="83"/>
      <c r="E4" s="83"/>
    </row>
    <row r="5" ht="14.25" customHeight="1" spans="1:5">
      <c r="A5" s="83"/>
      <c r="B5" s="83"/>
      <c r="C5" s="83"/>
      <c r="D5" s="83"/>
      <c r="E5" s="83"/>
    </row>
    <row r="6" customHeight="1" spans="1:5">
      <c r="A6" s="83"/>
      <c r="B6" s="83"/>
      <c r="C6" s="83"/>
      <c r="D6" s="83"/>
      <c r="E6" s="83"/>
    </row>
    <row r="7" ht="2.25" customHeight="1" spans="1:5">
      <c r="A7" s="83"/>
      <c r="B7" s="83"/>
      <c r="C7" s="83"/>
      <c r="D7" s="83"/>
      <c r="E7" s="83"/>
    </row>
    <row r="8" ht="13.5" hidden="1" customHeight="1" spans="1:5">
      <c r="A8" s="83"/>
      <c r="B8" s="83"/>
      <c r="C8" s="83"/>
      <c r="D8" s="83"/>
      <c r="E8" s="83"/>
    </row>
    <row r="9" ht="17.25" hidden="1" customHeight="1" spans="1:5">
      <c r="A9" s="83"/>
      <c r="B9" s="83"/>
      <c r="C9" s="83"/>
      <c r="D9" s="83"/>
      <c r="E9" s="83"/>
    </row>
    <row r="10" ht="6.75" customHeight="1"/>
    <row r="11" ht="15" customHeight="1" spans="1:5">
      <c r="A11" s="84" t="s">
        <v>1</v>
      </c>
      <c r="B11" s="84"/>
      <c r="C11" s="85" t="s">
        <v>2</v>
      </c>
      <c r="D11" s="84"/>
      <c r="E11" s="84"/>
    </row>
    <row r="12" ht="12" customHeight="1" spans="1:5">
      <c r="A12" s="86" t="s">
        <v>3</v>
      </c>
      <c r="B12" s="87"/>
      <c r="C12" s="76" t="s">
        <v>746</v>
      </c>
      <c r="D12" s="77"/>
      <c r="E12" s="77"/>
    </row>
    <row r="13" ht="14.25" customHeight="1" spans="1:5">
      <c r="A13" s="86" t="s">
        <v>747</v>
      </c>
      <c r="B13" s="87"/>
      <c r="C13" s="85" t="s">
        <v>5</v>
      </c>
      <c r="D13" s="84"/>
      <c r="E13" s="84"/>
    </row>
    <row r="14" ht="15" customHeight="1" spans="1:5">
      <c r="A14" s="88" t="s">
        <v>748</v>
      </c>
      <c r="B14" s="89"/>
      <c r="C14" s="90"/>
      <c r="D14" s="88"/>
      <c r="E14" s="88"/>
    </row>
    <row r="15" ht="15" customHeight="1" spans="1:5">
      <c r="A15" s="84" t="s">
        <v>7</v>
      </c>
      <c r="B15" s="91"/>
      <c r="C15" s="85" t="s">
        <v>54</v>
      </c>
      <c r="D15" s="92"/>
      <c r="E15" s="92"/>
    </row>
    <row r="16" ht="14.25" customHeight="1" spans="1:5">
      <c r="A16" s="86" t="s">
        <v>749</v>
      </c>
      <c r="B16" s="87"/>
      <c r="C16" s="76" t="s">
        <v>750</v>
      </c>
      <c r="D16" s="77"/>
      <c r="E16" s="77"/>
    </row>
    <row r="17" ht="14.25" customHeight="1" spans="1:5">
      <c r="A17" s="86" t="s">
        <v>751</v>
      </c>
      <c r="B17" s="87"/>
      <c r="C17" s="93" t="s">
        <v>752</v>
      </c>
      <c r="D17" s="94"/>
      <c r="E17" s="94"/>
    </row>
    <row r="18" ht="14.25" customHeight="1" spans="1:5">
      <c r="A18" s="88" t="s">
        <v>753</v>
      </c>
      <c r="B18" s="89"/>
      <c r="C18" s="95"/>
      <c r="D18" s="86"/>
      <c r="E18" s="86"/>
    </row>
    <row r="19" ht="14.25" customHeight="1" spans="1:5">
      <c r="A19" s="96"/>
      <c r="B19" s="97"/>
      <c r="C19" s="95"/>
      <c r="D19" s="86"/>
      <c r="E19" s="86"/>
    </row>
    <row r="20" ht="19.5" customHeight="1" spans="1:5">
      <c r="A20" s="84" t="s">
        <v>15</v>
      </c>
      <c r="B20" s="91"/>
      <c r="C20" s="95"/>
      <c r="D20" s="86"/>
      <c r="E20" s="86"/>
    </row>
    <row r="21" ht="14.25" customHeight="1" spans="1:5">
      <c r="A21" s="86" t="s">
        <v>16</v>
      </c>
      <c r="B21" s="87"/>
      <c r="C21" s="95"/>
      <c r="D21" s="86"/>
      <c r="E21" s="86"/>
    </row>
    <row r="22" ht="14.25" customHeight="1" spans="1:5">
      <c r="A22" s="86"/>
      <c r="B22" s="87"/>
      <c r="C22" s="95"/>
      <c r="D22" s="86"/>
      <c r="E22" s="86"/>
    </row>
    <row r="23" ht="14.25" customHeight="1" spans="1:5">
      <c r="A23" s="88"/>
      <c r="B23" s="89"/>
      <c r="C23" s="95"/>
      <c r="D23" s="86"/>
      <c r="E23" s="86"/>
    </row>
    <row r="24" spans="1:5">
      <c r="A24" s="91" t="s">
        <v>17</v>
      </c>
      <c r="B24" s="98" t="s">
        <v>18</v>
      </c>
      <c r="C24" s="95"/>
      <c r="D24" s="86"/>
      <c r="E24" s="86"/>
    </row>
    <row r="25" ht="24" customHeight="1" spans="1:5">
      <c r="A25" s="99" t="s">
        <v>754</v>
      </c>
      <c r="B25" s="100" t="s">
        <v>677</v>
      </c>
      <c r="C25" s="95"/>
      <c r="D25" s="86"/>
      <c r="E25" s="86"/>
    </row>
    <row r="26" ht="16.5" customHeight="1" spans="1:5">
      <c r="A26" s="91" t="s">
        <v>21</v>
      </c>
      <c r="B26" s="98" t="s">
        <v>22</v>
      </c>
      <c r="C26" s="95"/>
      <c r="D26" s="86"/>
      <c r="E26" s="86"/>
    </row>
    <row r="27" spans="1:5">
      <c r="A27" s="101"/>
      <c r="B27" s="22" t="s">
        <v>755</v>
      </c>
      <c r="C27" s="76"/>
      <c r="D27" s="77"/>
      <c r="E27" s="77"/>
    </row>
    <row r="28" spans="1:5">
      <c r="A28" s="102" t="s">
        <v>24</v>
      </c>
      <c r="B28" s="103" t="s">
        <v>25</v>
      </c>
      <c r="C28" s="104" t="s">
        <v>26</v>
      </c>
      <c r="D28" s="104" t="s">
        <v>27</v>
      </c>
      <c r="E28" s="105" t="s">
        <v>28</v>
      </c>
    </row>
    <row r="29" ht="12" customHeight="1" spans="1:5">
      <c r="A29" s="29"/>
      <c r="B29" s="36"/>
      <c r="C29" s="36" t="s">
        <v>29</v>
      </c>
      <c r="D29" s="36" t="s">
        <v>30</v>
      </c>
      <c r="E29" s="64" t="s">
        <v>31</v>
      </c>
    </row>
    <row r="30" ht="6" customHeight="1" spans="1:5">
      <c r="A30" s="29"/>
      <c r="B30" s="29"/>
      <c r="C30" s="29"/>
      <c r="D30" s="29"/>
      <c r="E30" s="29"/>
    </row>
    <row r="31" ht="11.25" customHeight="1" spans="1:5">
      <c r="A31" s="29"/>
      <c r="B31" s="29"/>
      <c r="C31" s="29"/>
      <c r="D31" s="30" t="s">
        <v>718</v>
      </c>
      <c r="E31" s="30"/>
    </row>
    <row r="32" ht="15" customHeight="1" spans="1:5">
      <c r="A32" s="35" t="s">
        <v>32</v>
      </c>
      <c r="B32" s="30" t="s">
        <v>725</v>
      </c>
      <c r="C32" s="31">
        <v>3.6</v>
      </c>
      <c r="D32" s="65">
        <v>1205</v>
      </c>
      <c r="E32" s="66">
        <f>C32*D32</f>
        <v>4338</v>
      </c>
    </row>
    <row r="33" ht="15" customHeight="1" spans="1:7">
      <c r="A33" s="34"/>
      <c r="B33" s="67" t="s">
        <v>756</v>
      </c>
      <c r="C33" s="31"/>
      <c r="D33" s="65"/>
      <c r="E33" s="66"/>
    </row>
    <row r="34" ht="15" customHeight="1" spans="1:7">
      <c r="A34" s="34"/>
      <c r="B34" s="30" t="s">
        <v>757</v>
      </c>
      <c r="C34" s="31"/>
      <c r="D34" s="65"/>
      <c r="E34" s="66"/>
    </row>
    <row r="35" ht="15" customHeight="1" spans="1:7">
      <c r="A35" s="34"/>
      <c r="B35" s="34"/>
      <c r="C35" s="31"/>
      <c r="D35" s="52"/>
      <c r="E35" s="31"/>
    </row>
    <row r="36" ht="15" customHeight="1" spans="1:7">
      <c r="A36" s="106"/>
      <c r="B36" s="106"/>
      <c r="C36" s="107"/>
      <c r="D36" s="108"/>
      <c r="E36" s="107"/>
      <c r="G36" s="109"/>
    </row>
    <row r="37" ht="15" customHeight="1" spans="1:7">
      <c r="A37" s="30" t="s">
        <v>675</v>
      </c>
      <c r="B37" s="30"/>
      <c r="C37" s="110"/>
      <c r="D37" s="111"/>
      <c r="E37" s="111"/>
    </row>
    <row r="38" ht="15" customHeight="1" spans="1:7">
      <c r="A38" s="112"/>
      <c r="B38" s="112"/>
      <c r="C38" s="112"/>
      <c r="D38" s="113"/>
      <c r="E38" s="113"/>
    </row>
    <row r="39" ht="15" customHeight="1" spans="1:7">
      <c r="A39" s="111"/>
      <c r="B39" s="110" t="s">
        <v>36</v>
      </c>
      <c r="C39" s="110">
        <f>SUM(C32:C38)</f>
        <v>3.6</v>
      </c>
      <c r="D39" s="110"/>
      <c r="E39" s="114">
        <f>SUM(E32:E38)</f>
        <v>4338</v>
      </c>
    </row>
    <row r="40" ht="15" customHeight="1" spans="1:7">
      <c r="A40" s="111"/>
      <c r="B40" s="110"/>
      <c r="C40" s="110"/>
      <c r="D40" s="110"/>
      <c r="E40" s="110"/>
    </row>
    <row r="44" spans="1:7">
      <c r="D44" s="115" t="s">
        <v>758</v>
      </c>
    </row>
  </sheetData>
  <mergeCells count="23">
    <mergeCell ref="A11:B11"/>
    <mergeCell ref="C11:E11"/>
    <mergeCell ref="A12:B12"/>
    <mergeCell ref="C12:E12"/>
    <mergeCell ref="A13:B13"/>
    <mergeCell ref="A14:B14"/>
    <mergeCell ref="C14:E14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A30:E30"/>
    <mergeCell ref="D31:E31"/>
    <mergeCell ref="A37:B37"/>
    <mergeCell ref="A38:B38"/>
    <mergeCell ref="C17:E27"/>
    <mergeCell ref="A2:E9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opLeftCell="A7" workbookViewId="0">
      <selection activeCell="A23" sqref="A17:E27"/>
    </sheetView>
  </sheetViews>
  <sheetFormatPr defaultColWidth="9" defaultRowHeight="15.75" outlineLevelCol="5"/>
  <cols>
    <col min="1" max="1" width="24.25" customWidth="1"/>
    <col min="2" max="2" width="22.875" customWidth="1"/>
    <col min="3" max="3" width="13.75" customWidth="1"/>
    <col min="4" max="4" width="14.125" customWidth="1"/>
    <col min="5" max="5" width="13.25" customWidth="1"/>
    <col min="6" max="6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48</v>
      </c>
      <c r="B2" s="46"/>
      <c r="C2" s="46"/>
      <c r="D2" s="46"/>
      <c r="E2" s="46"/>
    </row>
    <row r="3" ht="21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customHeight="1" spans="1:5">
      <c r="A6" s="46"/>
      <c r="B6" s="46"/>
      <c r="C6" s="46"/>
      <c r="D6" s="46"/>
      <c r="E6" s="46"/>
    </row>
    <row r="7" ht="2.25" customHeight="1" spans="1:5">
      <c r="A7" s="46"/>
      <c r="B7" s="46"/>
      <c r="C7" s="46"/>
      <c r="D7" s="46"/>
      <c r="E7" s="46"/>
    </row>
    <row r="8" ht="13.5" hidden="1" customHeight="1" spans="1:5">
      <c r="A8" s="46"/>
      <c r="B8" s="46"/>
      <c r="C8" s="46"/>
      <c r="D8" s="46"/>
      <c r="E8" s="46"/>
    </row>
    <row r="9" ht="17.25" hidden="1" customHeight="1" spans="1:5">
      <c r="A9" s="46"/>
      <c r="B9" s="46"/>
      <c r="C9" s="46"/>
      <c r="D9" s="46"/>
      <c r="E9" s="46"/>
    </row>
    <row r="10" ht="18.75" customHeight="1" spans="1:5">
      <c r="A10" s="75" t="s">
        <v>759</v>
      </c>
    </row>
    <row r="11" ht="15" customHeight="1" spans="1:5">
      <c r="A11" s="5" t="s">
        <v>1</v>
      </c>
      <c r="B11" s="5"/>
      <c r="C11" s="6" t="s">
        <v>2</v>
      </c>
      <c r="D11" s="5"/>
      <c r="E11" s="5"/>
    </row>
    <row r="12" ht="12" customHeight="1" spans="1:5">
      <c r="A12" s="13" t="s">
        <v>3</v>
      </c>
      <c r="B12" s="14"/>
      <c r="C12" s="9" t="s">
        <v>760</v>
      </c>
      <c r="D12" s="7"/>
      <c r="E12" s="7"/>
    </row>
    <row r="13" ht="14.25" customHeight="1" spans="1:5">
      <c r="A13" s="13" t="s">
        <v>747</v>
      </c>
      <c r="B13" s="14"/>
      <c r="C13" s="6" t="s">
        <v>5</v>
      </c>
      <c r="D13" s="5"/>
      <c r="E13" s="5"/>
    </row>
    <row r="14" ht="15" customHeight="1" spans="1:5">
      <c r="A14" s="7" t="s">
        <v>761</v>
      </c>
      <c r="B14" s="8"/>
      <c r="C14" s="9" t="s">
        <v>762</v>
      </c>
      <c r="D14" s="7"/>
      <c r="E14" s="7"/>
    </row>
    <row r="15" ht="15" customHeight="1" spans="1:5">
      <c r="A15" s="5" t="s">
        <v>7</v>
      </c>
      <c r="B15" s="10"/>
      <c r="C15" s="6" t="s">
        <v>54</v>
      </c>
      <c r="D15" s="60"/>
      <c r="E15" s="60"/>
    </row>
    <row r="16" ht="14.25" customHeight="1" spans="1:5">
      <c r="A16" s="13" t="s">
        <v>763</v>
      </c>
      <c r="B16" s="14"/>
      <c r="C16" s="76" t="s">
        <v>764</v>
      </c>
      <c r="D16" s="77"/>
      <c r="E16" s="77"/>
    </row>
    <row r="17" ht="14.25" customHeight="1" spans="1:6">
      <c r="A17" s="13"/>
      <c r="B17" s="14"/>
      <c r="C17" s="61" t="s">
        <v>765</v>
      </c>
      <c r="D17" s="62"/>
      <c r="E17" s="62"/>
    </row>
    <row r="18" ht="14.25" customHeight="1" spans="1:6">
      <c r="A18" s="7"/>
      <c r="B18" s="8"/>
      <c r="C18" s="63"/>
      <c r="D18" s="13"/>
      <c r="E18" s="13"/>
    </row>
    <row r="19" ht="14.25" customHeight="1" spans="1:6">
      <c r="A19" s="12"/>
      <c r="B19" s="17"/>
      <c r="C19" s="63"/>
      <c r="D19" s="13"/>
      <c r="E19" s="13"/>
    </row>
    <row r="20" ht="19.5" customHeight="1" spans="1:6">
      <c r="A20" s="5" t="s">
        <v>653</v>
      </c>
      <c r="B20" s="10"/>
      <c r="C20" s="63"/>
      <c r="D20" s="13"/>
      <c r="E20" s="13"/>
    </row>
    <row r="21" ht="14.25" customHeight="1" spans="1:6">
      <c r="A21" s="13" t="s">
        <v>729</v>
      </c>
      <c r="B21" s="14"/>
      <c r="C21" s="63"/>
      <c r="D21" s="13"/>
      <c r="E21" s="13"/>
    </row>
    <row r="22" ht="14.25" customHeight="1" spans="1:6">
      <c r="A22" s="13" t="s">
        <v>766</v>
      </c>
      <c r="B22" s="14"/>
      <c r="C22" s="63"/>
      <c r="D22" s="13"/>
      <c r="E22" s="13"/>
    </row>
    <row r="23" ht="14.25" customHeight="1" spans="1:6">
      <c r="A23" s="7" t="s">
        <v>753</v>
      </c>
      <c r="B23" s="8"/>
      <c r="C23" s="63"/>
      <c r="D23" s="13"/>
      <c r="E23" s="13"/>
    </row>
    <row r="24" spans="1:6">
      <c r="A24" s="10" t="s">
        <v>17</v>
      </c>
      <c r="B24" s="18" t="s">
        <v>18</v>
      </c>
      <c r="C24" s="63"/>
      <c r="D24" s="13"/>
      <c r="E24" s="13"/>
    </row>
    <row r="25" ht="15" customHeight="1" spans="1:6">
      <c r="A25" s="19" t="s">
        <v>715</v>
      </c>
      <c r="B25" s="20" t="s">
        <v>716</v>
      </c>
      <c r="C25" s="63"/>
      <c r="D25" s="13"/>
      <c r="E25" s="13"/>
    </row>
    <row r="26" ht="16.5" customHeight="1" spans="1:6">
      <c r="A26" s="10" t="s">
        <v>21</v>
      </c>
      <c r="B26" s="18" t="s">
        <v>22</v>
      </c>
      <c r="C26" s="63"/>
      <c r="D26" s="13"/>
      <c r="E26" s="13"/>
    </row>
    <row r="27" spans="1:6">
      <c r="A27" s="70" t="s">
        <v>767</v>
      </c>
      <c r="B27" s="22" t="s">
        <v>768</v>
      </c>
      <c r="C27" s="58"/>
      <c r="D27" s="59"/>
      <c r="E27" s="59"/>
    </row>
    <row r="28" ht="21" customHeight="1" spans="1:6">
      <c r="A28" s="23" t="s">
        <v>24</v>
      </c>
      <c r="B28" s="24" t="s">
        <v>25</v>
      </c>
      <c r="C28" s="25" t="s">
        <v>26</v>
      </c>
      <c r="D28" s="25" t="s">
        <v>662</v>
      </c>
      <c r="E28" s="28" t="s">
        <v>28</v>
      </c>
    </row>
    <row r="29" ht="12" customHeight="1" spans="1:6">
      <c r="A29" s="29"/>
      <c r="B29" s="36"/>
      <c r="C29" s="36"/>
      <c r="D29" s="36"/>
      <c r="E29" s="64"/>
    </row>
    <row r="30" ht="12" customHeight="1" spans="1:6">
      <c r="A30" s="29"/>
      <c r="B30" s="36"/>
      <c r="C30" s="30" t="s">
        <v>769</v>
      </c>
      <c r="D30" s="30"/>
      <c r="E30" s="30"/>
    </row>
    <row r="31" ht="15" customHeight="1" spans="1:6">
      <c r="A31" s="35"/>
      <c r="B31" s="30" t="s">
        <v>719</v>
      </c>
      <c r="C31" s="36">
        <v>19.88</v>
      </c>
      <c r="D31" s="68">
        <v>1040</v>
      </c>
      <c r="E31" s="78">
        <f>C31*D31</f>
        <v>20675.2</v>
      </c>
      <c r="F31" s="79"/>
    </row>
    <row r="32" ht="15" customHeight="1" spans="1:6">
      <c r="A32" s="34"/>
      <c r="B32" s="67" t="s">
        <v>770</v>
      </c>
      <c r="C32" s="31"/>
      <c r="D32" s="65"/>
      <c r="E32" s="66"/>
    </row>
    <row r="33" ht="15" customHeight="1" spans="1:5">
      <c r="A33" s="34"/>
      <c r="B33" s="30" t="s">
        <v>771</v>
      </c>
      <c r="C33" s="31"/>
      <c r="D33" s="65"/>
      <c r="E33" s="66"/>
    </row>
    <row r="34" ht="15" customHeight="1" spans="1:5">
      <c r="A34" s="34"/>
      <c r="B34" s="30" t="s">
        <v>772</v>
      </c>
      <c r="C34" s="31"/>
      <c r="D34" s="52"/>
      <c r="E34" s="31"/>
    </row>
    <row r="35" ht="15" customHeight="1" spans="1:5">
      <c r="A35" s="37"/>
      <c r="B35" s="37"/>
      <c r="C35" s="37"/>
      <c r="D35" s="37"/>
      <c r="E35" s="37"/>
    </row>
    <row r="36" ht="15" customHeight="1" spans="1:5">
      <c r="A36" s="35"/>
      <c r="B36" s="36" t="s">
        <v>36</v>
      </c>
      <c r="C36" s="36" t="s">
        <v>773</v>
      </c>
      <c r="D36" s="68" t="s">
        <v>774</v>
      </c>
      <c r="E36" s="78" t="s">
        <v>775</v>
      </c>
    </row>
    <row r="37" ht="15" customHeight="1" spans="1:5">
      <c r="A37" s="35"/>
      <c r="B37" s="36"/>
      <c r="C37" s="36"/>
      <c r="D37" s="36"/>
      <c r="E37" s="36"/>
    </row>
    <row r="42" spans="1:5">
      <c r="D42" s="55" t="s">
        <v>47</v>
      </c>
    </row>
  </sheetData>
  <mergeCells count="22">
    <mergeCell ref="A11:B11"/>
    <mergeCell ref="C11:E11"/>
    <mergeCell ref="A12:B12"/>
    <mergeCell ref="C12:E12"/>
    <mergeCell ref="A13:B13"/>
    <mergeCell ref="A14:B14"/>
    <mergeCell ref="C14:E14"/>
    <mergeCell ref="C15:E15"/>
    <mergeCell ref="A16:B16"/>
    <mergeCell ref="C16:E16"/>
    <mergeCell ref="A17:B17"/>
    <mergeCell ref="A18:B18"/>
    <mergeCell ref="A19:B19"/>
    <mergeCell ref="A20:B20"/>
    <mergeCell ref="A21:B21"/>
    <mergeCell ref="A22:B22"/>
    <mergeCell ref="A23:B23"/>
    <mergeCell ref="C30:E30"/>
    <mergeCell ref="A35:B35"/>
    <mergeCell ref="C35:E35"/>
    <mergeCell ref="A2:E9"/>
    <mergeCell ref="C17:E27"/>
  </mergeCells>
  <pageMargins left="0.47244094488189" right="0.393700787401575" top="0.45" bottom="0.984251968503937" header="0.511811023622047" footer="0.511811023622047"/>
  <pageSetup paperSize="9" orientation="portrait" verticalDpi="1200"/>
  <headerFooter alignWithMargins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7" workbookViewId="0">
      <selection activeCell="A23" sqref="A13:F24"/>
    </sheetView>
  </sheetViews>
  <sheetFormatPr defaultColWidth="9" defaultRowHeight="11.6" outlineLevelCol="6"/>
  <cols>
    <col min="1" max="1" width="23.875" style="1" customWidth="1"/>
    <col min="2" max="2" width="24.125" style="1" customWidth="1"/>
    <col min="3" max="3" width="8.625" style="1" customWidth="1"/>
    <col min="4" max="4" width="10" style="1" customWidth="1"/>
    <col min="5" max="5" width="9.375" style="1" customWidth="1"/>
    <col min="6" max="6" width="13.5" style="1" customWidth="1"/>
    <col min="7" max="7" width="11.875" style="1" customWidth="1"/>
    <col min="8" max="16384" width="9" style="1"/>
  </cols>
  <sheetData>
    <row r="1" ht="47.25" customHeight="1" spans="1:7">
      <c r="A1" s="45"/>
      <c r="B1" s="45"/>
      <c r="C1" s="45"/>
      <c r="D1" s="45"/>
      <c r="E1" s="45"/>
      <c r="F1" s="45"/>
    </row>
    <row r="2" ht="14.25" customHeight="1" spans="1:7">
      <c r="A2" s="46" t="s">
        <v>65</v>
      </c>
      <c r="B2" s="46"/>
      <c r="C2" s="46"/>
      <c r="D2" s="46"/>
      <c r="E2" s="46"/>
      <c r="F2" s="46"/>
      <c r="G2" s="3"/>
    </row>
    <row r="3" ht="14.25" customHeight="1" spans="1:7">
      <c r="A3" s="46"/>
      <c r="B3" s="46"/>
      <c r="C3" s="46"/>
      <c r="D3" s="46"/>
      <c r="E3" s="46"/>
      <c r="F3" s="46"/>
      <c r="G3" s="3"/>
    </row>
    <row r="4" ht="21" customHeight="1" spans="1:7">
      <c r="A4" s="46"/>
      <c r="B4" s="46"/>
      <c r="C4" s="46"/>
      <c r="D4" s="46"/>
      <c r="E4" s="46"/>
      <c r="F4" s="46"/>
      <c r="G4" s="3"/>
    </row>
    <row r="5" ht="24.75" customHeight="1" spans="1:7">
      <c r="A5" s="46"/>
      <c r="B5" s="46"/>
      <c r="C5" s="46"/>
      <c r="D5" s="46"/>
      <c r="E5" s="46"/>
      <c r="F5" s="46"/>
      <c r="G5" s="3"/>
    </row>
    <row r="6" ht="12" customHeight="1" spans="1:7">
      <c r="A6" s="46"/>
      <c r="B6" s="46"/>
      <c r="C6" s="46"/>
      <c r="D6" s="46"/>
      <c r="E6" s="46"/>
      <c r="F6" s="46"/>
      <c r="G6" s="3"/>
    </row>
    <row r="7" ht="16.5" customHeight="1" spans="1:7">
      <c r="A7" s="69"/>
      <c r="B7" s="69"/>
      <c r="C7" s="69"/>
      <c r="D7" s="69"/>
      <c r="E7" s="69"/>
      <c r="F7" s="69"/>
      <c r="G7"/>
    </row>
    <row r="8" customFormat="1" ht="15" customHeight="1" spans="1:7">
      <c r="A8" s="5" t="s">
        <v>1</v>
      </c>
      <c r="B8" s="5"/>
      <c r="C8" s="6" t="s">
        <v>2</v>
      </c>
      <c r="D8" s="5"/>
      <c r="E8" s="5"/>
      <c r="F8" s="5"/>
    </row>
    <row r="9" customFormat="1" ht="12" customHeight="1" spans="1:7">
      <c r="A9" s="13" t="s">
        <v>3</v>
      </c>
      <c r="B9" s="14"/>
      <c r="C9" s="9" t="s">
        <v>760</v>
      </c>
      <c r="D9" s="7"/>
      <c r="E9" s="7"/>
      <c r="F9" s="7"/>
    </row>
    <row r="10" customFormat="1" ht="14.25" customHeight="1" spans="1:7">
      <c r="A10" s="13" t="s">
        <v>747</v>
      </c>
      <c r="B10" s="14"/>
      <c r="C10" s="9"/>
      <c r="D10" s="7"/>
      <c r="E10" s="7"/>
      <c r="F10" s="7"/>
    </row>
    <row r="11" customFormat="1" ht="15" customHeight="1" spans="1:7">
      <c r="A11" s="7" t="s">
        <v>748</v>
      </c>
      <c r="B11" s="8"/>
      <c r="C11" s="9"/>
      <c r="D11" s="7"/>
      <c r="E11" s="7"/>
      <c r="F11" s="7"/>
    </row>
    <row r="12" customFormat="1" ht="15" customHeight="1" spans="1:7">
      <c r="A12" s="5" t="s">
        <v>7</v>
      </c>
      <c r="B12" s="10"/>
      <c r="C12" s="11"/>
      <c r="D12" s="12"/>
      <c r="E12" s="12"/>
      <c r="F12" s="12"/>
    </row>
    <row r="13" customFormat="1" ht="14.25" customHeight="1" spans="1:7">
      <c r="A13" s="13" t="s">
        <v>776</v>
      </c>
      <c r="B13" s="14"/>
      <c r="C13" s="6" t="s">
        <v>777</v>
      </c>
      <c r="D13" s="5"/>
      <c r="E13" s="5"/>
      <c r="F13" s="5"/>
    </row>
    <row r="14" customFormat="1" ht="14.25" customHeight="1" spans="1:7">
      <c r="A14" s="13"/>
      <c r="B14" s="14"/>
      <c r="C14" s="15"/>
      <c r="D14" s="7"/>
      <c r="E14" s="16"/>
      <c r="F14" s="16"/>
    </row>
    <row r="15" customFormat="1" ht="14.25" customHeight="1" spans="1:7">
      <c r="A15" s="7"/>
      <c r="B15" s="8"/>
      <c r="C15" s="15"/>
      <c r="D15" s="16"/>
      <c r="E15" s="16"/>
      <c r="F15" s="16"/>
    </row>
    <row r="16" customFormat="1" ht="14.25" customHeight="1" spans="1:7">
      <c r="A16" s="12"/>
      <c r="B16" s="17"/>
      <c r="C16" s="15"/>
      <c r="D16" s="16"/>
      <c r="E16" s="16"/>
      <c r="F16" s="16"/>
    </row>
    <row r="17" customFormat="1" ht="19.5" customHeight="1" spans="1:7">
      <c r="A17" s="5" t="s">
        <v>653</v>
      </c>
      <c r="B17" s="10"/>
      <c r="C17" s="15"/>
      <c r="D17" s="16"/>
      <c r="E17" s="16"/>
      <c r="F17" s="16"/>
    </row>
    <row r="18" customFormat="1" ht="14.25" customHeight="1" spans="1:7">
      <c r="A18" s="13" t="s">
        <v>729</v>
      </c>
      <c r="B18" s="14"/>
      <c r="C18" s="15"/>
      <c r="D18" s="16"/>
      <c r="E18" s="16"/>
      <c r="F18" s="16"/>
    </row>
    <row r="19" customFormat="1" ht="12.75" customHeight="1" spans="1:7">
      <c r="A19" s="13" t="s">
        <v>766</v>
      </c>
      <c r="B19" s="14"/>
      <c r="C19" s="15"/>
      <c r="D19" s="16"/>
      <c r="E19" s="16"/>
      <c r="F19" s="16"/>
    </row>
    <row r="20" customFormat="1" ht="14.25" customHeight="1" spans="1:7">
      <c r="A20" s="7" t="s">
        <v>753</v>
      </c>
      <c r="B20" s="8"/>
      <c r="C20" s="15"/>
      <c r="D20" s="16"/>
      <c r="E20" s="16"/>
      <c r="F20" s="16"/>
    </row>
    <row r="21" customFormat="1" ht="15.75" spans="1:7">
      <c r="A21" s="10" t="s">
        <v>17</v>
      </c>
      <c r="B21" s="18" t="s">
        <v>18</v>
      </c>
      <c r="C21" s="15"/>
      <c r="D21" s="16"/>
      <c r="E21" s="16"/>
      <c r="F21" s="16"/>
    </row>
    <row r="22" customFormat="1" ht="12" customHeight="1" spans="1:7">
      <c r="A22" s="19" t="s">
        <v>715</v>
      </c>
      <c r="B22" s="20" t="s">
        <v>716</v>
      </c>
      <c r="C22" s="15"/>
      <c r="D22" s="16"/>
      <c r="E22" s="16"/>
      <c r="F22" s="16"/>
    </row>
    <row r="23" customFormat="1" ht="16.5" customHeight="1" spans="1:7">
      <c r="A23" s="10" t="s">
        <v>21</v>
      </c>
      <c r="B23" s="18" t="s">
        <v>22</v>
      </c>
      <c r="C23" s="15"/>
      <c r="D23" s="16"/>
      <c r="E23" s="16"/>
      <c r="F23" s="16"/>
    </row>
    <row r="24" customFormat="1" ht="15.75" spans="1:7">
      <c r="A24" s="70" t="s">
        <v>767</v>
      </c>
      <c r="B24" s="22" t="s">
        <v>768</v>
      </c>
      <c r="C24" s="15"/>
      <c r="D24" s="16"/>
      <c r="E24" s="16"/>
      <c r="F24" s="16"/>
    </row>
    <row r="25" customFormat="1" ht="20.25" spans="1:7">
      <c r="A25" s="23" t="s">
        <v>24</v>
      </c>
      <c r="B25" s="24" t="s">
        <v>25</v>
      </c>
      <c r="C25" s="25" t="s">
        <v>71</v>
      </c>
      <c r="D25" s="26" t="s">
        <v>72</v>
      </c>
      <c r="E25" s="27" t="s">
        <v>73</v>
      </c>
      <c r="F25" s="28" t="s">
        <v>103</v>
      </c>
    </row>
    <row r="26" spans="1:7">
      <c r="A26" s="36"/>
      <c r="B26" s="36"/>
      <c r="C26" s="36"/>
      <c r="D26" s="36"/>
      <c r="E26" s="36"/>
      <c r="F26" s="36"/>
      <c r="G26" s="36"/>
    </row>
    <row r="27" spans="1:7">
      <c r="A27" s="36"/>
      <c r="B27" s="36"/>
      <c r="C27" s="36"/>
      <c r="D27" s="36"/>
      <c r="E27" s="36"/>
      <c r="F27" s="36"/>
      <c r="G27" s="36"/>
    </row>
    <row r="28" ht="12" customHeight="1" spans="1:7">
      <c r="A28" s="30" t="s">
        <v>778</v>
      </c>
      <c r="B28" s="30" t="s">
        <v>719</v>
      </c>
      <c r="C28" s="31"/>
      <c r="D28" s="71"/>
      <c r="E28" s="71"/>
      <c r="F28" s="33"/>
      <c r="G28" s="31"/>
    </row>
    <row r="29" ht="12" customHeight="1" spans="1:7">
      <c r="A29" s="34"/>
      <c r="B29" s="30" t="s">
        <v>779</v>
      </c>
      <c r="C29" s="31"/>
      <c r="D29" s="32"/>
      <c r="E29" s="32"/>
      <c r="F29" s="33"/>
      <c r="G29" s="31"/>
    </row>
    <row r="30" spans="1:7">
      <c r="A30" s="35"/>
      <c r="B30" s="35" t="s">
        <v>780</v>
      </c>
      <c r="C30" s="36"/>
      <c r="D30" s="35"/>
      <c r="E30" s="35"/>
      <c r="F30" s="35"/>
      <c r="G30" s="35"/>
    </row>
    <row r="31" spans="1:7">
      <c r="A31" s="35"/>
      <c r="B31" s="30" t="s">
        <v>675</v>
      </c>
      <c r="C31" s="36"/>
      <c r="D31" s="35"/>
      <c r="E31" s="35"/>
      <c r="F31" s="35"/>
      <c r="G31" s="35"/>
    </row>
    <row r="32" ht="12.35" spans="1:7">
      <c r="A32" s="37"/>
      <c r="B32" s="37"/>
      <c r="C32" s="37"/>
      <c r="D32" s="72"/>
      <c r="E32" s="72"/>
      <c r="F32" s="38"/>
      <c r="G32" s="39"/>
    </row>
    <row r="33" ht="12.35" spans="1:7">
      <c r="A33" s="35"/>
      <c r="B33" s="36"/>
      <c r="C33" s="73" t="s">
        <v>781</v>
      </c>
      <c r="D33" s="74" t="s">
        <v>782</v>
      </c>
      <c r="E33" s="74" t="s">
        <v>782</v>
      </c>
      <c r="F33" s="40" t="s">
        <v>226</v>
      </c>
      <c r="G33" s="35"/>
    </row>
    <row r="34" spans="1:7">
      <c r="A34" s="35"/>
      <c r="B34" s="36"/>
      <c r="C34" s="36"/>
      <c r="D34" s="36"/>
      <c r="E34" s="36"/>
      <c r="F34" s="31"/>
      <c r="G34" s="35"/>
    </row>
    <row r="35" spans="1:7">
      <c r="A35" s="35"/>
      <c r="C35" s="36"/>
      <c r="D35" s="36"/>
      <c r="E35" s="36"/>
      <c r="F35" s="36"/>
      <c r="G35" s="35"/>
    </row>
    <row r="36" ht="15.75" spans="1:7">
      <c r="A36"/>
      <c r="B36" s="41"/>
      <c r="C36" s="35"/>
      <c r="D36" s="35"/>
      <c r="E36" s="35"/>
      <c r="F36" s="35"/>
      <c r="G36" s="35"/>
    </row>
    <row r="37" spans="1:7">
      <c r="A37" s="35" t="s">
        <v>595</v>
      </c>
      <c r="B37" s="41"/>
      <c r="C37" s="35"/>
      <c r="D37" s="35"/>
      <c r="E37" s="35"/>
      <c r="F37" s="35"/>
      <c r="G37" s="35"/>
    </row>
    <row r="38" spans="1:7">
      <c r="A38" s="35"/>
      <c r="B38" s="35"/>
      <c r="C38" s="35"/>
      <c r="D38" s="35"/>
      <c r="E38" s="35"/>
      <c r="F38" s="35"/>
      <c r="G38" s="35"/>
    </row>
    <row r="39" spans="1:7">
      <c r="A39" s="41"/>
      <c r="B39" s="41"/>
      <c r="C39" s="41"/>
      <c r="D39" s="41"/>
      <c r="E39" s="41"/>
      <c r="F39" s="41"/>
      <c r="G39" s="41"/>
    </row>
    <row r="40" spans="1:7">
      <c r="A40" s="42"/>
      <c r="B40" s="42"/>
      <c r="C40" s="42"/>
      <c r="D40" s="42"/>
      <c r="E40" s="42"/>
      <c r="F40" s="42"/>
      <c r="G40" s="42"/>
    </row>
    <row r="44" ht="15.75" spans="1:7">
      <c r="A44"/>
      <c r="B44"/>
      <c r="C44"/>
      <c r="D44" s="43" t="s">
        <v>83</v>
      </c>
      <c r="E44" s="43"/>
      <c r="F44"/>
      <c r="G44"/>
    </row>
  </sheetData>
  <mergeCells count="22">
    <mergeCell ref="A8:B8"/>
    <mergeCell ref="C8:F8"/>
    <mergeCell ref="A9:B9"/>
    <mergeCell ref="C9:F9"/>
    <mergeCell ref="A10:B10"/>
    <mergeCell ref="C10:F10"/>
    <mergeCell ref="A11:B11"/>
    <mergeCell ref="C11:F11"/>
    <mergeCell ref="C12:F12"/>
    <mergeCell ref="A13:B13"/>
    <mergeCell ref="A14:B14"/>
    <mergeCell ref="A15:B15"/>
    <mergeCell ref="A16:B16"/>
    <mergeCell ref="A17:B17"/>
    <mergeCell ref="A18:B18"/>
    <mergeCell ref="A19:B19"/>
    <mergeCell ref="A20:B20"/>
    <mergeCell ref="A26:G26"/>
    <mergeCell ref="A32:B32"/>
    <mergeCell ref="A40:G40"/>
    <mergeCell ref="A2:F7"/>
    <mergeCell ref="C13:F24"/>
  </mergeCells>
  <pageMargins left="0.393700787401575" right="0.393700787401575" top="0.43" bottom="0.984251968503937" header="0.511811023622047" footer="0.511811023622047"/>
  <pageSetup paperSize="9" orientation="portrait"/>
  <headerFooter alignWithMargins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opLeftCell="A3" workbookViewId="0">
      <selection activeCell="A23" sqref="A16:E26"/>
    </sheetView>
  </sheetViews>
  <sheetFormatPr defaultColWidth="9" defaultRowHeight="15.75" outlineLevelCol="7"/>
  <cols>
    <col min="1" max="1" width="20.625" customWidth="1"/>
    <col min="2" max="2" width="22.25" customWidth="1"/>
    <col min="3" max="3" width="13.75" customWidth="1"/>
    <col min="4" max="4" width="14.125" customWidth="1"/>
    <col min="5" max="5" width="15.5" customWidth="1"/>
    <col min="8" max="8" width="22.875" customWidth="1"/>
  </cols>
  <sheetData>
    <row r="1" ht="14.25" customHeight="1" spans="1:6">
      <c r="A1" s="2" t="s">
        <v>48</v>
      </c>
      <c r="B1" s="2"/>
      <c r="C1" s="2"/>
      <c r="D1" s="2"/>
      <c r="E1" s="2"/>
      <c r="F1" s="56"/>
    </row>
    <row r="2" ht="14.25" customHeight="1" spans="1:6">
      <c r="A2" s="2"/>
      <c r="B2" s="2"/>
      <c r="C2" s="2"/>
      <c r="D2" s="2"/>
      <c r="E2" s="2"/>
      <c r="F2" s="56"/>
    </row>
    <row r="3" ht="14.25" customHeight="1" spans="1:6">
      <c r="A3" s="2"/>
      <c r="B3" s="2"/>
      <c r="C3" s="2"/>
      <c r="D3" s="2"/>
      <c r="E3" s="2"/>
      <c r="F3" s="56"/>
    </row>
    <row r="4" ht="14.25" customHeight="1" spans="1:6">
      <c r="A4" s="2"/>
      <c r="B4" s="2"/>
      <c r="C4" s="2"/>
      <c r="D4" s="2"/>
      <c r="E4" s="2"/>
      <c r="F4" s="57"/>
    </row>
    <row r="5" customHeight="1" spans="1:6">
      <c r="A5" s="2"/>
      <c r="B5" s="2"/>
      <c r="C5" s="2"/>
      <c r="D5" s="2"/>
      <c r="E5" s="2"/>
    </row>
    <row r="6" ht="2.25" customHeight="1" spans="1:6">
      <c r="A6" s="2"/>
      <c r="B6" s="2"/>
      <c r="C6" s="2"/>
      <c r="D6" s="2"/>
      <c r="E6" s="2"/>
    </row>
    <row r="7" ht="13.5" hidden="1" customHeight="1" spans="1:6">
      <c r="A7" s="2"/>
      <c r="B7" s="2"/>
      <c r="C7" s="2"/>
      <c r="D7" s="2"/>
      <c r="E7" s="2"/>
    </row>
    <row r="8" ht="17.25" hidden="1" customHeight="1" spans="1:6">
      <c r="A8" s="2"/>
      <c r="B8" s="2"/>
      <c r="C8" s="2"/>
      <c r="D8" s="2"/>
      <c r="E8" s="2"/>
    </row>
    <row r="9" ht="6.75" customHeight="1"/>
    <row r="10" ht="15" customHeight="1" spans="1:6">
      <c r="A10" s="5" t="s">
        <v>1</v>
      </c>
      <c r="B10" s="5"/>
      <c r="C10" s="6" t="s">
        <v>2</v>
      </c>
      <c r="D10" s="5"/>
      <c r="E10" s="5"/>
    </row>
    <row r="11" ht="12" customHeight="1" spans="1:6">
      <c r="A11" s="7" t="s">
        <v>783</v>
      </c>
      <c r="B11" s="8"/>
      <c r="C11" s="58" t="s">
        <v>784</v>
      </c>
      <c r="D11" s="59"/>
      <c r="E11" s="59"/>
      <c r="F11" s="56"/>
    </row>
    <row r="12" ht="14.25" customHeight="1" spans="1:6">
      <c r="A12" s="7" t="s">
        <v>785</v>
      </c>
      <c r="B12" s="8"/>
      <c r="C12" s="6" t="s">
        <v>5</v>
      </c>
      <c r="D12" s="5"/>
      <c r="E12" s="5"/>
    </row>
    <row r="13" ht="15" customHeight="1" spans="1:6">
      <c r="A13" s="7" t="s">
        <v>786</v>
      </c>
      <c r="B13" s="8"/>
      <c r="C13" s="9"/>
      <c r="D13" s="7"/>
      <c r="E13" s="7"/>
    </row>
    <row r="14" ht="15" customHeight="1" spans="1:6">
      <c r="A14" s="5" t="s">
        <v>7</v>
      </c>
      <c r="B14" s="10"/>
      <c r="C14" s="6" t="s">
        <v>54</v>
      </c>
      <c r="D14" s="60"/>
      <c r="E14" s="60"/>
    </row>
    <row r="15" ht="14.25" customHeight="1" spans="1:6">
      <c r="A15" s="13" t="s">
        <v>3</v>
      </c>
      <c r="B15" s="14"/>
      <c r="C15" s="58" t="s">
        <v>787</v>
      </c>
      <c r="D15" s="59"/>
      <c r="E15" s="59"/>
    </row>
    <row r="16" ht="14.25" customHeight="1" spans="1:6">
      <c r="A16" s="13" t="s">
        <v>747</v>
      </c>
      <c r="B16" s="14"/>
      <c r="C16" s="61" t="s">
        <v>668</v>
      </c>
      <c r="D16" s="62"/>
      <c r="E16" s="62"/>
    </row>
    <row r="17" ht="14.25" customHeight="1" spans="1:5">
      <c r="A17" s="7" t="s">
        <v>748</v>
      </c>
      <c r="B17" s="8"/>
      <c r="C17" s="63"/>
      <c r="D17" s="13"/>
      <c r="E17" s="13"/>
    </row>
    <row r="18" ht="14.25" customHeight="1" spans="1:5">
      <c r="A18" s="12"/>
      <c r="B18" s="17"/>
      <c r="C18" s="63"/>
      <c r="D18" s="13"/>
      <c r="E18" s="13"/>
    </row>
    <row r="19" ht="19.5" customHeight="1" spans="1:5">
      <c r="A19" s="5" t="s">
        <v>15</v>
      </c>
      <c r="B19" s="10"/>
      <c r="C19" s="63"/>
      <c r="D19" s="13"/>
      <c r="E19" s="13"/>
    </row>
    <row r="20" ht="14.25" customHeight="1" spans="1:5">
      <c r="A20" s="13" t="s">
        <v>16</v>
      </c>
      <c r="B20" s="14"/>
      <c r="C20" s="63"/>
      <c r="D20" s="13"/>
      <c r="E20" s="13"/>
    </row>
    <row r="21" ht="14.25" customHeight="1" spans="1:5">
      <c r="A21" s="13"/>
      <c r="B21" s="14"/>
      <c r="C21" s="63"/>
      <c r="D21" s="13"/>
      <c r="E21" s="13"/>
    </row>
    <row r="22" ht="14.25" customHeight="1" spans="1:5">
      <c r="A22" s="7"/>
      <c r="B22" s="8"/>
      <c r="C22" s="63"/>
      <c r="D22" s="13"/>
      <c r="E22" s="13"/>
    </row>
    <row r="23" spans="1:5">
      <c r="A23" s="10" t="s">
        <v>17</v>
      </c>
      <c r="B23" s="18" t="s">
        <v>18</v>
      </c>
      <c r="C23" s="63"/>
      <c r="D23" s="13"/>
      <c r="E23" s="13"/>
    </row>
    <row r="24" ht="24" customHeight="1" spans="1:5">
      <c r="A24" s="19" t="s">
        <v>788</v>
      </c>
      <c r="B24" s="20" t="s">
        <v>789</v>
      </c>
      <c r="C24" s="63"/>
      <c r="D24" s="13"/>
      <c r="E24" s="13"/>
    </row>
    <row r="25" ht="16.5" customHeight="1" spans="1:5">
      <c r="A25" s="10" t="s">
        <v>21</v>
      </c>
      <c r="B25" s="18" t="s">
        <v>22</v>
      </c>
      <c r="C25" s="63"/>
      <c r="D25" s="13"/>
      <c r="E25" s="13"/>
    </row>
    <row r="26" spans="1:5">
      <c r="A26" s="21" t="s">
        <v>790</v>
      </c>
      <c r="B26" s="22" t="s">
        <v>791</v>
      </c>
      <c r="C26" s="58"/>
      <c r="D26" s="59"/>
      <c r="E26" s="59"/>
    </row>
    <row r="27" spans="1:5">
      <c r="A27" s="23" t="s">
        <v>24</v>
      </c>
      <c r="B27" s="24" t="s">
        <v>25</v>
      </c>
      <c r="C27" s="25" t="s">
        <v>26</v>
      </c>
      <c r="D27" s="25" t="s">
        <v>27</v>
      </c>
      <c r="E27" s="28" t="s">
        <v>28</v>
      </c>
    </row>
    <row r="28" ht="12" customHeight="1" spans="1:5">
      <c r="A28" s="29"/>
      <c r="B28" s="36"/>
      <c r="C28" s="36" t="s">
        <v>29</v>
      </c>
      <c r="D28" s="36" t="s">
        <v>30</v>
      </c>
      <c r="E28" s="64" t="s">
        <v>31</v>
      </c>
    </row>
    <row r="29" ht="6" customHeight="1" spans="1:5">
      <c r="A29" s="29"/>
      <c r="B29" s="29"/>
      <c r="C29" s="29"/>
      <c r="D29" s="29"/>
      <c r="E29" s="29"/>
    </row>
    <row r="30" ht="11.25" customHeight="1" spans="1:5">
      <c r="A30" s="29"/>
      <c r="B30" s="29"/>
      <c r="C30" s="29"/>
      <c r="D30" s="30" t="s">
        <v>792</v>
      </c>
      <c r="E30" s="30"/>
    </row>
    <row r="31" ht="15" customHeight="1" spans="1:5">
      <c r="A31" s="35" t="s">
        <v>32</v>
      </c>
      <c r="B31" s="30" t="s">
        <v>793</v>
      </c>
      <c r="C31" s="31">
        <v>31.2</v>
      </c>
      <c r="D31" s="65">
        <v>2390</v>
      </c>
      <c r="E31" s="66">
        <f>C31*D31</f>
        <v>74568</v>
      </c>
    </row>
    <row r="32" ht="15" customHeight="1" spans="1:5">
      <c r="A32" s="34"/>
      <c r="B32" s="67" t="s">
        <v>794</v>
      </c>
      <c r="C32" s="31"/>
      <c r="D32" s="65"/>
      <c r="E32" s="66"/>
    </row>
    <row r="33" ht="15" customHeight="1" spans="1:8">
      <c r="A33" s="34"/>
      <c r="B33" s="30" t="s">
        <v>795</v>
      </c>
      <c r="C33" s="31"/>
      <c r="D33" s="65"/>
      <c r="E33" s="66"/>
    </row>
    <row r="34" ht="15" customHeight="1" spans="1:8">
      <c r="A34" s="34"/>
      <c r="B34" s="34"/>
      <c r="C34" s="31"/>
      <c r="D34" s="52"/>
      <c r="E34" s="31"/>
    </row>
    <row r="35" ht="15" customHeight="1" spans="1:8">
      <c r="A35" s="34"/>
      <c r="B35" s="34"/>
      <c r="C35" s="31"/>
      <c r="D35" s="52"/>
      <c r="E35" s="31"/>
      <c r="H35" s="53"/>
    </row>
    <row r="36" ht="15" customHeight="1" spans="1:8">
      <c r="A36" s="30" t="s">
        <v>796</v>
      </c>
      <c r="B36" s="30"/>
      <c r="C36" s="36"/>
      <c r="D36" s="35"/>
      <c r="E36" s="35"/>
    </row>
    <row r="37" ht="15" customHeight="1" spans="1:8">
      <c r="A37" s="37"/>
      <c r="B37" s="37"/>
      <c r="C37" s="37"/>
      <c r="D37" s="38"/>
      <c r="E37" s="38"/>
    </row>
    <row r="38" ht="15" customHeight="1" spans="1:8">
      <c r="A38" s="35"/>
      <c r="B38" s="36" t="s">
        <v>36</v>
      </c>
      <c r="C38" s="36">
        <f>SUM(C31:C37)</f>
        <v>31.2</v>
      </c>
      <c r="D38" s="36"/>
      <c r="E38" s="68">
        <f>SUM(E31:E37)</f>
        <v>74568</v>
      </c>
    </row>
    <row r="39" ht="15" customHeight="1" spans="1:8">
      <c r="A39" s="35"/>
      <c r="B39" s="36"/>
      <c r="C39" s="36"/>
      <c r="D39" s="36"/>
      <c r="E39" s="36"/>
    </row>
    <row r="40" ht="21.75" customHeight="1" spans="1:8">
      <c r="A40" s="35"/>
      <c r="B40" s="36"/>
      <c r="C40" s="36"/>
      <c r="D40" s="36"/>
      <c r="E40" s="35"/>
    </row>
    <row r="41" spans="1:8">
      <c r="A41" s="54"/>
    </row>
    <row r="46" spans="1:8">
      <c r="D46" s="55" t="s">
        <v>47</v>
      </c>
    </row>
  </sheetData>
  <mergeCells count="23">
    <mergeCell ref="A10:B10"/>
    <mergeCell ref="C10:E10"/>
    <mergeCell ref="A11:B11"/>
    <mergeCell ref="C11:E11"/>
    <mergeCell ref="A12:B12"/>
    <mergeCell ref="A13:B13"/>
    <mergeCell ref="C13:E13"/>
    <mergeCell ref="C14:E14"/>
    <mergeCell ref="A15:B15"/>
    <mergeCell ref="C15:E15"/>
    <mergeCell ref="A16:B16"/>
    <mergeCell ref="A17:B17"/>
    <mergeCell ref="A18:B18"/>
    <mergeCell ref="A19:B19"/>
    <mergeCell ref="A20:B20"/>
    <mergeCell ref="A21:B21"/>
    <mergeCell ref="A22:B22"/>
    <mergeCell ref="A29:E29"/>
    <mergeCell ref="D30:E30"/>
    <mergeCell ref="A36:B36"/>
    <mergeCell ref="A37:B37"/>
    <mergeCell ref="C16:E26"/>
    <mergeCell ref="A1:E8"/>
  </mergeCells>
  <pageMargins left="0.47244094488189" right="0.393700787401575" top="0.984251968503937" bottom="0.984251968503937" header="0.511811023622047" footer="0.511811023622047"/>
  <pageSetup paperSize="9" orientation="portrait" verticalDpi="1200"/>
  <headerFooter alignWithMargins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23" sqref="A23:C23"/>
    </sheetView>
  </sheetViews>
  <sheetFormatPr defaultColWidth="9" defaultRowHeight="15.75" outlineLevelCol="6"/>
  <cols>
    <col min="1" max="1" width="20.625" customWidth="1"/>
    <col min="2" max="2" width="9.625" customWidth="1"/>
    <col min="3" max="3" width="25.125" customWidth="1"/>
    <col min="4" max="4" width="14.125" customWidth="1"/>
    <col min="5" max="5" width="9.25" customWidth="1"/>
    <col min="7" max="7" width="22.875" customWidth="1"/>
  </cols>
  <sheetData>
    <row r="1" s="1" customFormat="1" ht="47.25" customHeight="1" spans="1:5">
      <c r="A1" s="45"/>
      <c r="B1" s="45"/>
      <c r="C1" s="45"/>
      <c r="D1" s="45"/>
      <c r="E1" s="45"/>
    </row>
    <row r="2" ht="14.25" customHeight="1" spans="1:5">
      <c r="A2" s="46" t="s">
        <v>797</v>
      </c>
      <c r="B2" s="46"/>
      <c r="C2" s="46"/>
      <c r="D2" s="46"/>
      <c r="E2" s="46"/>
    </row>
    <row r="3" ht="50.25" customHeight="1" spans="1:5">
      <c r="A3" s="46"/>
      <c r="B3" s="46"/>
      <c r="C3" s="46"/>
      <c r="D3" s="46"/>
      <c r="E3" s="46"/>
    </row>
    <row r="4" ht="24" customHeight="1" spans="1:5">
      <c r="A4" s="46"/>
      <c r="B4" s="46"/>
      <c r="C4" s="46"/>
      <c r="D4" s="46"/>
      <c r="E4" s="46"/>
    </row>
    <row r="5" ht="14.25" customHeight="1" spans="1:5">
      <c r="A5" s="46"/>
      <c r="B5" s="46"/>
      <c r="C5" s="46"/>
      <c r="D5" s="46"/>
      <c r="E5" s="46"/>
    </row>
    <row r="6" ht="7.5" customHeight="1" spans="1:5">
      <c r="A6" s="46"/>
      <c r="B6" s="46"/>
      <c r="C6" s="46"/>
      <c r="D6" s="46"/>
      <c r="E6" s="46"/>
    </row>
    <row r="7" s="44" customFormat="1" ht="15" customHeight="1" spans="1:5">
      <c r="A7" s="47"/>
      <c r="B7" s="47"/>
      <c r="C7" s="47"/>
      <c r="D7" s="47"/>
      <c r="E7" s="47"/>
    </row>
    <row r="8" s="44" customFormat="1" ht="15" customHeight="1" spans="1:5">
      <c r="A8" s="48" t="s">
        <v>798</v>
      </c>
      <c r="B8" s="48"/>
      <c r="C8" s="49" t="s">
        <v>799</v>
      </c>
      <c r="D8" s="48" t="s">
        <v>800</v>
      </c>
      <c r="E8" s="48"/>
    </row>
    <row r="9" s="44" customFormat="1" ht="15" customHeight="1" spans="1:5">
      <c r="A9" s="50" t="s">
        <v>801</v>
      </c>
      <c r="B9" s="50"/>
      <c r="C9" s="50" t="s">
        <v>802</v>
      </c>
      <c r="D9" s="50" t="s">
        <v>803</v>
      </c>
      <c r="E9" s="50"/>
    </row>
    <row r="10" s="44" customFormat="1" ht="15" customHeight="1" spans="1:5">
      <c r="A10" s="50" t="s">
        <v>804</v>
      </c>
      <c r="B10" s="50"/>
      <c r="C10" s="50" t="s">
        <v>805</v>
      </c>
      <c r="D10" s="51">
        <v>0.11</v>
      </c>
      <c r="E10" s="51"/>
    </row>
    <row r="11" s="44" customFormat="1" ht="15" customHeight="1" spans="1:5">
      <c r="A11" s="50" t="s">
        <v>806</v>
      </c>
      <c r="B11" s="50"/>
      <c r="C11" s="50" t="s">
        <v>807</v>
      </c>
      <c r="D11" s="51">
        <v>3.6</v>
      </c>
      <c r="E11" s="51"/>
    </row>
    <row r="12" s="44" customFormat="1" ht="15" customHeight="1" spans="1:5">
      <c r="A12" s="50" t="s">
        <v>808</v>
      </c>
      <c r="B12" s="50"/>
      <c r="C12" s="50" t="s">
        <v>809</v>
      </c>
      <c r="D12" s="51">
        <v>0.048</v>
      </c>
      <c r="E12" s="51"/>
    </row>
    <row r="13" s="44" customFormat="1" ht="15" customHeight="1" spans="1:5">
      <c r="A13" s="50" t="s">
        <v>810</v>
      </c>
      <c r="B13" s="50"/>
      <c r="C13" s="50" t="s">
        <v>811</v>
      </c>
      <c r="D13" s="51">
        <v>0.87</v>
      </c>
      <c r="E13" s="51"/>
    </row>
    <row r="14" s="44" customFormat="1" ht="15" customHeight="1" spans="1:5">
      <c r="A14" s="50" t="s">
        <v>812</v>
      </c>
      <c r="B14" s="50"/>
      <c r="C14" s="50" t="s">
        <v>813</v>
      </c>
      <c r="D14" s="51" t="s">
        <v>814</v>
      </c>
      <c r="E14" s="51"/>
    </row>
    <row r="15" s="44" customFormat="1" ht="15" customHeight="1" spans="1:5">
      <c r="A15" s="50" t="s">
        <v>815</v>
      </c>
      <c r="B15" s="50"/>
      <c r="C15" s="50" t="s">
        <v>813</v>
      </c>
      <c r="D15" s="51">
        <v>1.2</v>
      </c>
      <c r="E15" s="51"/>
    </row>
    <row r="16" s="44" customFormat="1" ht="15" customHeight="1" spans="1:5">
      <c r="A16" s="50" t="s">
        <v>816</v>
      </c>
      <c r="B16" s="50"/>
      <c r="C16" s="50" t="s">
        <v>811</v>
      </c>
      <c r="D16" s="51">
        <v>1.64</v>
      </c>
      <c r="E16" s="51"/>
    </row>
    <row r="17" s="44" customFormat="1" ht="15" customHeight="1" spans="1:7">
      <c r="A17" s="50" t="s">
        <v>817</v>
      </c>
      <c r="B17" s="50"/>
      <c r="C17" s="50" t="s">
        <v>818</v>
      </c>
      <c r="D17" s="51">
        <v>6.6</v>
      </c>
      <c r="E17" s="51"/>
    </row>
    <row r="18" s="44" customFormat="1" ht="15" customHeight="1" spans="1:7">
      <c r="A18" s="50" t="s">
        <v>819</v>
      </c>
      <c r="B18" s="50"/>
      <c r="C18" s="50" t="s">
        <v>811</v>
      </c>
      <c r="D18" s="51">
        <v>0.55</v>
      </c>
      <c r="E18" s="51"/>
    </row>
    <row r="19" ht="15" customHeight="1" spans="1:7">
      <c r="A19" s="31"/>
      <c r="B19" s="31"/>
      <c r="C19" s="31"/>
      <c r="D19" s="52"/>
      <c r="E19" s="31"/>
      <c r="G19" s="53"/>
    </row>
    <row r="20" ht="15" customHeight="1" spans="1:7">
      <c r="A20" s="35"/>
      <c r="B20" s="36"/>
      <c r="C20" s="36"/>
      <c r="D20" s="36"/>
      <c r="E20" s="36"/>
    </row>
    <row r="21" ht="21.75" customHeight="1" spans="1:7">
      <c r="A21" s="35"/>
      <c r="B21" s="36"/>
      <c r="C21" s="36"/>
      <c r="D21" s="36"/>
      <c r="E21" s="35"/>
    </row>
    <row r="22" spans="1:7">
      <c r="A22" s="54"/>
    </row>
    <row r="25" spans="1:7">
      <c r="D25" s="55" t="s">
        <v>47</v>
      </c>
    </row>
  </sheetData>
  <mergeCells count="23"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18:B18"/>
    <mergeCell ref="D18:E18"/>
    <mergeCell ref="A2:E6"/>
  </mergeCells>
  <printOptions horizontalCentered="1"/>
  <pageMargins left="0.47244094488189" right="0.393700787401575" top="0.433070866141732" bottom="0.984251968503937" header="0.511811023622047" footer="0.511811023622047"/>
  <pageSetup paperSize="9" orientation="portrait" verticalDpi="1200"/>
  <headerFooter alignWithMargins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9" workbookViewId="0">
      <selection activeCell="A23" sqref="A23:C23"/>
    </sheetView>
  </sheetViews>
  <sheetFormatPr defaultColWidth="9" defaultRowHeight="11.6" outlineLevelCol="6"/>
  <cols>
    <col min="1" max="1" width="20.125" style="1" customWidth="1"/>
    <col min="2" max="2" width="24.125" style="1" customWidth="1"/>
    <col min="3" max="3" width="8.625" style="1" customWidth="1"/>
    <col min="4" max="4" width="10" style="1" customWidth="1"/>
    <col min="5" max="5" width="10.75" style="1" customWidth="1"/>
    <col min="6" max="6" width="15.25" style="1" customWidth="1"/>
    <col min="7" max="7" width="11.875" style="1" customWidth="1"/>
    <col min="8" max="16384" width="9" style="1"/>
  </cols>
  <sheetData>
    <row r="1" ht="14.25" customHeight="1" spans="1:7">
      <c r="A1" s="2" t="s">
        <v>65</v>
      </c>
      <c r="B1" s="2"/>
      <c r="C1" s="2"/>
      <c r="D1" s="2"/>
      <c r="E1" s="2"/>
      <c r="F1" s="2"/>
      <c r="G1" s="3"/>
    </row>
    <row r="2" ht="14.25" customHeight="1" spans="1:7">
      <c r="A2" s="2"/>
      <c r="B2" s="2"/>
      <c r="C2" s="2"/>
      <c r="D2" s="2"/>
      <c r="E2" s="2"/>
      <c r="F2" s="2"/>
      <c r="G2" s="3"/>
    </row>
    <row r="3" ht="14.25" customHeight="1" spans="1:7">
      <c r="A3" s="2"/>
      <c r="B3" s="2"/>
      <c r="C3" s="2"/>
      <c r="D3" s="2"/>
      <c r="E3" s="2"/>
      <c r="F3" s="2"/>
      <c r="G3" s="3"/>
    </row>
    <row r="4" ht="12" customHeight="1" spans="1:7">
      <c r="A4" s="2"/>
      <c r="B4" s="2"/>
      <c r="C4" s="2"/>
      <c r="D4" s="2"/>
      <c r="E4" s="2"/>
      <c r="F4" s="2"/>
      <c r="G4" s="3"/>
    </row>
    <row r="5" ht="12" customHeight="1" spans="1:7">
      <c r="A5" s="4"/>
      <c r="B5" s="4"/>
      <c r="C5" s="4"/>
      <c r="D5" s="4"/>
      <c r="E5" s="4"/>
      <c r="F5" s="4"/>
      <c r="G5"/>
    </row>
    <row r="6" customFormat="1" ht="15" customHeight="1" spans="1:7">
      <c r="A6" s="5" t="s">
        <v>1</v>
      </c>
      <c r="B6" s="5"/>
      <c r="C6" s="6" t="s">
        <v>2</v>
      </c>
      <c r="D6" s="5"/>
      <c r="E6" s="5"/>
      <c r="F6" s="5"/>
    </row>
    <row r="7" customFormat="1" ht="12" customHeight="1" spans="1:7">
      <c r="A7" s="7" t="s">
        <v>820</v>
      </c>
      <c r="B7" s="8"/>
      <c r="C7" s="9" t="s">
        <v>821</v>
      </c>
      <c r="D7" s="7"/>
      <c r="E7" s="7"/>
      <c r="F7" s="7"/>
    </row>
    <row r="8" customFormat="1" ht="14.25" customHeight="1" spans="1:7">
      <c r="A8" s="7" t="s">
        <v>785</v>
      </c>
      <c r="B8" s="8"/>
      <c r="C8" s="9"/>
      <c r="D8" s="7"/>
      <c r="E8" s="7"/>
      <c r="F8" s="7"/>
    </row>
    <row r="9" customFormat="1" ht="15" customHeight="1" spans="1:7">
      <c r="A9" s="7" t="s">
        <v>786</v>
      </c>
      <c r="B9" s="8"/>
      <c r="C9" s="9"/>
      <c r="D9" s="7"/>
      <c r="E9" s="7"/>
      <c r="F9" s="7"/>
    </row>
    <row r="10" customFormat="1" ht="15" customHeight="1" spans="1:7">
      <c r="A10" s="5" t="s">
        <v>7</v>
      </c>
      <c r="B10" s="10"/>
      <c r="C10" s="11"/>
      <c r="D10" s="12"/>
      <c r="E10" s="12"/>
      <c r="F10" s="12"/>
    </row>
    <row r="11" customFormat="1" ht="14.25" customHeight="1" spans="1:7">
      <c r="A11" s="13" t="s">
        <v>3</v>
      </c>
      <c r="B11" s="14"/>
      <c r="C11" s="6" t="s">
        <v>676</v>
      </c>
      <c r="D11" s="5"/>
      <c r="E11" s="5"/>
      <c r="F11" s="5"/>
    </row>
    <row r="12" customFormat="1" ht="14.25" customHeight="1" spans="1:7">
      <c r="A12" s="13" t="s">
        <v>747</v>
      </c>
      <c r="B12" s="14"/>
      <c r="C12" s="15"/>
      <c r="D12" s="16"/>
      <c r="E12" s="16"/>
      <c r="F12" s="16"/>
    </row>
    <row r="13" customFormat="1" ht="14.25" customHeight="1" spans="1:7">
      <c r="A13" s="7" t="s">
        <v>748</v>
      </c>
      <c r="B13" s="8"/>
      <c r="C13" s="15"/>
      <c r="D13" s="16"/>
      <c r="E13" s="16"/>
      <c r="F13" s="16"/>
    </row>
    <row r="14" customFormat="1" ht="14.25" customHeight="1" spans="1:7">
      <c r="A14" s="12"/>
      <c r="B14" s="17"/>
      <c r="C14" s="15"/>
      <c r="D14" s="16"/>
      <c r="E14" s="16"/>
      <c r="F14" s="16"/>
    </row>
    <row r="15" customFormat="1" ht="19.5" customHeight="1" spans="1:7">
      <c r="A15" s="5" t="s">
        <v>15</v>
      </c>
      <c r="B15" s="10"/>
      <c r="C15" s="15"/>
      <c r="D15" s="16"/>
      <c r="E15" s="16"/>
      <c r="F15" s="16"/>
    </row>
    <row r="16" customFormat="1" ht="14.25" customHeight="1" spans="1:7">
      <c r="A16" s="13" t="s">
        <v>16</v>
      </c>
      <c r="B16" s="14"/>
      <c r="C16" s="15"/>
      <c r="D16" s="16"/>
      <c r="E16" s="16"/>
      <c r="F16" s="16"/>
    </row>
    <row r="17" customFormat="1" ht="12.75" customHeight="1" spans="1:7">
      <c r="A17" s="13"/>
      <c r="B17" s="14"/>
      <c r="C17" s="15"/>
      <c r="D17" s="16"/>
      <c r="E17" s="16"/>
      <c r="F17" s="16"/>
    </row>
    <row r="18" customFormat="1" ht="14.25" customHeight="1" spans="1:7">
      <c r="A18" s="13"/>
      <c r="B18" s="14"/>
      <c r="C18" s="15"/>
      <c r="D18" s="16"/>
      <c r="E18" s="16"/>
      <c r="F18" s="16"/>
    </row>
    <row r="19" customFormat="1" ht="15.75" spans="1:7">
      <c r="A19" s="10" t="s">
        <v>17</v>
      </c>
      <c r="B19" s="18" t="s">
        <v>18</v>
      </c>
      <c r="C19" s="15"/>
      <c r="D19" s="16"/>
      <c r="E19" s="16"/>
      <c r="F19" s="16"/>
    </row>
    <row r="20" customFormat="1" ht="12" customHeight="1" spans="1:7">
      <c r="A20" s="19" t="s">
        <v>788</v>
      </c>
      <c r="B20" s="20" t="s">
        <v>789</v>
      </c>
      <c r="C20" s="15"/>
      <c r="D20" s="16"/>
      <c r="E20" s="16"/>
      <c r="F20" s="16"/>
    </row>
    <row r="21" customFormat="1" ht="16.5" customHeight="1" spans="1:7">
      <c r="A21" s="10" t="s">
        <v>21</v>
      </c>
      <c r="B21" s="18" t="s">
        <v>22</v>
      </c>
      <c r="C21" s="15"/>
      <c r="D21" s="16"/>
      <c r="E21" s="16"/>
      <c r="F21" s="16"/>
    </row>
    <row r="22" customFormat="1" ht="15.75" spans="1:7">
      <c r="A22" s="21" t="s">
        <v>790</v>
      </c>
      <c r="B22" s="22" t="s">
        <v>791</v>
      </c>
      <c r="C22" s="15"/>
      <c r="D22" s="16"/>
      <c r="E22" s="16"/>
      <c r="F22" s="16"/>
    </row>
    <row r="23" customFormat="1" ht="20.25" spans="1:7">
      <c r="A23" s="23" t="s">
        <v>24</v>
      </c>
      <c r="B23" s="24" t="s">
        <v>25</v>
      </c>
      <c r="C23" s="25" t="s">
        <v>71</v>
      </c>
      <c r="D23" s="26" t="s">
        <v>72</v>
      </c>
      <c r="E23" s="27" t="s">
        <v>73</v>
      </c>
      <c r="F23" s="28" t="s">
        <v>103</v>
      </c>
    </row>
    <row r="24" spans="1:7">
      <c r="A24" s="29"/>
      <c r="B24" s="29"/>
      <c r="C24" s="29"/>
      <c r="D24" s="29"/>
      <c r="E24" s="29"/>
      <c r="F24" s="29"/>
      <c r="G24" s="29"/>
    </row>
    <row r="25" ht="12" customHeight="1" spans="1:7">
      <c r="A25" s="30"/>
      <c r="B25" s="30" t="s">
        <v>793</v>
      </c>
      <c r="C25" s="31"/>
      <c r="D25" s="32"/>
      <c r="E25" s="32"/>
      <c r="F25" s="33"/>
      <c r="G25" s="31"/>
    </row>
    <row r="26" ht="12" customHeight="1" spans="1:7">
      <c r="A26" s="34"/>
      <c r="B26" s="30" t="s">
        <v>822</v>
      </c>
      <c r="C26" s="31"/>
      <c r="D26" s="32"/>
      <c r="E26" s="32"/>
      <c r="F26" s="33"/>
      <c r="G26" s="31"/>
    </row>
    <row r="27" spans="1:7">
      <c r="A27" s="35"/>
      <c r="B27" s="35" t="s">
        <v>823</v>
      </c>
      <c r="C27" s="36"/>
      <c r="D27" s="35"/>
      <c r="E27" s="35"/>
      <c r="F27" s="35"/>
      <c r="G27" s="35"/>
    </row>
    <row r="28" spans="1:7">
      <c r="A28" s="35"/>
      <c r="B28" s="35"/>
      <c r="C28" s="36"/>
      <c r="D28" s="35"/>
      <c r="E28" s="35"/>
      <c r="F28" s="35"/>
      <c r="G28" s="35"/>
    </row>
    <row r="29" ht="12.35" spans="1:7">
      <c r="A29" s="37"/>
      <c r="B29" s="37"/>
      <c r="C29" s="37"/>
      <c r="D29" s="38"/>
      <c r="E29" s="38"/>
      <c r="F29" s="38"/>
      <c r="G29" s="39"/>
    </row>
    <row r="30" ht="12.35" spans="1:7">
      <c r="A30" s="35"/>
      <c r="B30" s="36"/>
      <c r="C30" s="36" t="s">
        <v>824</v>
      </c>
      <c r="D30" s="36" t="s">
        <v>825</v>
      </c>
      <c r="E30" s="36" t="s">
        <v>826</v>
      </c>
      <c r="F30" s="40" t="s">
        <v>827</v>
      </c>
      <c r="G30" s="35"/>
    </row>
    <row r="31" spans="1:7">
      <c r="A31" s="35"/>
      <c r="B31" s="36"/>
      <c r="C31" s="36"/>
      <c r="D31" s="36"/>
      <c r="E31" s="36"/>
      <c r="F31" s="36"/>
      <c r="G31" s="35"/>
    </row>
    <row r="32" spans="1:7">
      <c r="A32" s="35"/>
      <c r="B32" s="1" t="s">
        <v>828</v>
      </c>
      <c r="C32" s="36"/>
      <c r="D32" s="36"/>
      <c r="E32" s="36"/>
      <c r="F32" s="36"/>
      <c r="G32" s="35"/>
    </row>
    <row r="33" ht="15.75" spans="1:7">
      <c r="A33"/>
      <c r="B33" s="41" t="s">
        <v>829</v>
      </c>
      <c r="C33" s="35"/>
      <c r="D33" s="35"/>
      <c r="E33" s="35"/>
      <c r="F33" s="35"/>
      <c r="G33" s="35"/>
    </row>
    <row r="34" ht="11.65" spans="1:7">
      <c r="A34" s="35" t="s">
        <v>595</v>
      </c>
      <c r="B34" s="41" t="s">
        <v>830</v>
      </c>
      <c r="C34" s="35"/>
      <c r="D34" s="35"/>
      <c r="E34" s="35"/>
      <c r="F34" s="35"/>
      <c r="G34" s="35"/>
    </row>
    <row r="35" spans="1:7">
      <c r="A35" s="35"/>
      <c r="B35" s="35"/>
      <c r="C35" s="35"/>
      <c r="D35" s="35"/>
      <c r="E35" s="35"/>
      <c r="F35" s="35"/>
      <c r="G35" s="35"/>
    </row>
    <row r="36" spans="1:7">
      <c r="A36" s="41"/>
      <c r="B36" s="41"/>
      <c r="C36" s="41"/>
      <c r="D36" s="41"/>
      <c r="E36" s="41"/>
      <c r="F36" s="41"/>
      <c r="G36" s="41"/>
    </row>
    <row r="37" spans="1:7">
      <c r="A37" s="42"/>
      <c r="B37" s="42"/>
      <c r="C37" s="42"/>
      <c r="D37" s="42"/>
      <c r="E37" s="42"/>
      <c r="F37" s="42"/>
      <c r="G37" s="42"/>
    </row>
    <row r="41" ht="15.75" spans="1:7">
      <c r="A41"/>
      <c r="B41"/>
      <c r="C41"/>
      <c r="D41" s="43" t="s">
        <v>83</v>
      </c>
      <c r="E41" s="43"/>
      <c r="F41"/>
      <c r="G41"/>
    </row>
  </sheetData>
  <mergeCells count="22">
    <mergeCell ref="A6:B6"/>
    <mergeCell ref="C6:F6"/>
    <mergeCell ref="A7:B7"/>
    <mergeCell ref="C7:F7"/>
    <mergeCell ref="A8:B8"/>
    <mergeCell ref="C8:F8"/>
    <mergeCell ref="A9:B9"/>
    <mergeCell ref="C9:F9"/>
    <mergeCell ref="C10:F10"/>
    <mergeCell ref="A11:B11"/>
    <mergeCell ref="A12:B12"/>
    <mergeCell ref="A13:B13"/>
    <mergeCell ref="A14:B14"/>
    <mergeCell ref="A15:B15"/>
    <mergeCell ref="A16:B16"/>
    <mergeCell ref="A17:B17"/>
    <mergeCell ref="A18:B18"/>
    <mergeCell ref="A24:G24"/>
    <mergeCell ref="A29:B29"/>
    <mergeCell ref="A37:G37"/>
    <mergeCell ref="C11:F22"/>
    <mergeCell ref="A1:F5"/>
  </mergeCells>
  <pageMargins left="0.393700787401575" right="0.393700787401575" top="0.669291338582677" bottom="0.984251968503937" header="0.511811023622047" footer="0.511811023622047"/>
  <pageSetup paperSize="9" orientation="portrait" verticalDpi="12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74</vt:i4>
      </vt:variant>
    </vt:vector>
  </HeadingPairs>
  <TitlesOfParts>
    <vt:vector size="74" baseType="lpstr">
      <vt:lpstr>AT CHEM (2)</vt:lpstr>
      <vt:lpstr>CT BDGA iv </vt:lpstr>
      <vt:lpstr>CT BDGA pl  </vt:lpstr>
      <vt:lpstr>CETpi</vt:lpstr>
      <vt:lpstr>ats ci</vt:lpstr>
      <vt:lpstr>ats pl </vt:lpstr>
      <vt:lpstr>kyungsan cnt iv HA (2)</vt:lpstr>
      <vt:lpstr>kyungsan cnt pl  HA</vt:lpstr>
      <vt:lpstr>GS pl  </vt:lpstr>
      <vt:lpstr>kyungsan cnt peg iv</vt:lpstr>
      <vt:lpstr>kyungsan cnt peg pl </vt:lpstr>
      <vt:lpstr>gs profoma invoice (2)</vt:lpstr>
      <vt:lpstr>CET ci</vt:lpstr>
      <vt:lpstr>CET pl </vt:lpstr>
      <vt:lpstr>CET PI</vt:lpstr>
      <vt:lpstr>R CI</vt:lpstr>
      <vt:lpstr>R pl</vt:lpstr>
      <vt:lpstr>AT CHEM</vt:lpstr>
      <vt:lpstr>atchem ci</vt:lpstr>
      <vt:lpstr>atchem pl</vt:lpstr>
      <vt:lpstr>LOTTE ci   </vt:lpstr>
      <vt:lpstr>LOTTE PL </vt:lpstr>
      <vt:lpstr>PI (2)</vt:lpstr>
      <vt:lpstr>LGHH profoma invoice</vt:lpstr>
      <vt:lpstr>TL ci </vt:lpstr>
      <vt:lpstr>TL PL </vt:lpstr>
      <vt:lpstr>chemiway ci (2)</vt:lpstr>
      <vt:lpstr>chemiway PL (2)</vt:lpstr>
      <vt:lpstr>medtech iv </vt:lpstr>
      <vt:lpstr>medtech pl</vt:lpstr>
      <vt:lpstr>medtech iv</vt:lpstr>
      <vt:lpstr>ISU  IV  </vt:lpstr>
      <vt:lpstr>ISU PL</vt:lpstr>
      <vt:lpstr>CHEMWAY  euIV</vt:lpstr>
      <vt:lpstr>CHEMWAY PL</vt:lpstr>
      <vt:lpstr>HIGH IV  </vt:lpstr>
      <vt:lpstr>HIGH PL</vt:lpstr>
      <vt:lpstr>greenchem IV </vt:lpstr>
      <vt:lpstr>greenchem  PL </vt:lpstr>
      <vt:lpstr>JSC PL (2)</vt:lpstr>
      <vt:lpstr>GKF CI</vt:lpstr>
      <vt:lpstr>GKF PL</vt:lpstr>
      <vt:lpstr>GKF CI (2)</vt:lpstr>
      <vt:lpstr>GKF PL (2)</vt:lpstr>
      <vt:lpstr>chemiway ci</vt:lpstr>
      <vt:lpstr>chemiway PL</vt:lpstr>
      <vt:lpstr>invoice</vt:lpstr>
      <vt:lpstr>pitchJC CI   </vt:lpstr>
      <vt:lpstr>pitch JC  PL  </vt:lpstr>
      <vt:lpstr>pitch gkfAK</vt:lpstr>
      <vt:lpstr>pitch oiltech CI  </vt:lpstr>
      <vt:lpstr>pitch oiltech  PL </vt:lpstr>
      <vt:lpstr>pitch chemway CI  </vt:lpstr>
      <vt:lpstr>pitch gkf CI</vt:lpstr>
      <vt:lpstr>pitch lotte CI </vt:lpstr>
      <vt:lpstr>pitch lotte CI  PL</vt:lpstr>
      <vt:lpstr>PL</vt:lpstr>
      <vt:lpstr>IV-isu</vt:lpstr>
      <vt:lpstr>BLUECHEMinvoice -PUD</vt:lpstr>
      <vt:lpstr>BLUE CHEMpl -pl PUD</vt:lpstr>
      <vt:lpstr>noroo pl -pl HDO</vt:lpstr>
      <vt:lpstr>noroo invoice -hdo</vt:lpstr>
      <vt:lpstr>PACIFIC-p</vt:lpstr>
      <vt:lpstr>PACIFIC-isu</vt:lpstr>
      <vt:lpstr>SINOWAY</vt:lpstr>
      <vt:lpstr>SINOWAY PL</vt:lpstr>
      <vt:lpstr>chemtree invoice -pl</vt:lpstr>
      <vt:lpstr>chemtree pl -pl</vt:lpstr>
      <vt:lpstr>chemtree  pro. invoice </vt:lpstr>
      <vt:lpstr>chemtree invoice</vt:lpstr>
      <vt:lpstr>chemtree pl</vt:lpstr>
      <vt:lpstr>IVOICE</vt:lpstr>
      <vt:lpstr>COA</vt:lpstr>
      <vt:lpstr>PACKINGLIST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WPS_1653547452</cp:lastModifiedBy>
  <dcterms:created xsi:type="dcterms:W3CDTF">2008-02-29T01:49:00Z</dcterms:created>
  <cp:lastPrinted>2025-10-27T02:13:00Z</cp:lastPrinted>
  <dcterms:modified xsi:type="dcterms:W3CDTF">2026-03-13T01:31:02Z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B95A640F6AE64FC7ACF16DC083910708_13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