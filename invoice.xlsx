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iCloudDrive\00 자동화 Daily 업무\진상옥workflow\"/>
    </mc:Choice>
  </mc:AlternateContent>
  <xr:revisionPtr revIDLastSave="0" documentId="11_18987085692CF4B6D788DE612398008FB536FFE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V CT" sheetId="29" r:id="rId1"/>
    <sheet name="PL CT" sheetId="30" r:id="rId2"/>
    <sheet name="IV CT (2)" sheetId="31" r:id="rId3"/>
    <sheet name="PL CT (2)" sheetId="32" r:id="rId4"/>
    <sheet name="IV HA (2)" sheetId="26" r:id="rId5"/>
    <sheet name="PL HA (2)" sheetId="27" r:id="rId6"/>
    <sheet name="IV HA" sheetId="16" r:id="rId7"/>
    <sheet name="PL HA" sheetId="17" r:id="rId8"/>
    <sheet name="IV AMS" sheetId="24" r:id="rId9"/>
    <sheet name="PL ams" sheetId="25" r:id="rId10"/>
    <sheet name="PI AMS" sheetId="22" r:id="rId11"/>
    <sheet name="IV CG" sheetId="20" r:id="rId12"/>
    <sheet name="PL CG" sheetId="21" r:id="rId13"/>
    <sheet name="PI LAS" sheetId="19" r:id="rId14"/>
    <sheet name="IV LAS" sheetId="18" r:id="rId15"/>
    <sheet name="IV DA" sheetId="14" r:id="rId16"/>
    <sheet name="PL DA" sheetId="15" r:id="rId17"/>
    <sheet name="IV HUANGHUA" sheetId="12" r:id="rId18"/>
    <sheet name="PL HUANGHUA" sheetId="13" r:id="rId19"/>
    <sheet name="IV DMC" sheetId="10" r:id="rId20"/>
    <sheet name="PL  DMC" sheetId="11" r:id="rId21"/>
    <sheet name="IV THF" sheetId="6" r:id="rId22"/>
    <sheet name="PL THF" sheetId="7" r:id="rId23"/>
    <sheet name="Sheet1" sheetId="28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6" l="1"/>
  <c r="F31" i="11"/>
  <c r="F30" i="11"/>
  <c r="F40" i="10"/>
  <c r="F31" i="10"/>
  <c r="F34" i="12"/>
  <c r="F33" i="14"/>
  <c r="F41" i="18"/>
  <c r="D41" i="18"/>
  <c r="F33" i="18"/>
  <c r="F41" i="19"/>
  <c r="D41" i="19"/>
  <c r="F33" i="19"/>
  <c r="F32" i="21"/>
  <c r="F31" i="21"/>
  <c r="F30" i="21"/>
  <c r="F41" i="20"/>
  <c r="F33" i="20"/>
  <c r="F31" i="22"/>
  <c r="F23" i="22"/>
  <c r="F40" i="24"/>
  <c r="F32" i="24"/>
  <c r="F41" i="16"/>
  <c r="F33" i="16"/>
  <c r="F40" i="26"/>
  <c r="F32" i="26"/>
  <c r="F39" i="32"/>
  <c r="D39" i="32"/>
  <c r="F37" i="32"/>
  <c r="F36" i="32"/>
  <c r="F35" i="32"/>
  <c r="F34" i="32"/>
  <c r="F33" i="32"/>
  <c r="F32" i="32"/>
  <c r="F37" i="31"/>
  <c r="C37" i="31"/>
  <c r="F33" i="31"/>
  <c r="F38" i="30"/>
  <c r="D38" i="30"/>
  <c r="F36" i="30"/>
  <c r="F35" i="30"/>
  <c r="F34" i="30"/>
  <c r="F33" i="30"/>
  <c r="F32" i="30"/>
  <c r="F37" i="29"/>
  <c r="C37" i="29"/>
  <c r="F33" i="29"/>
</calcChain>
</file>

<file path=xl/sharedStrings.xml><?xml version="1.0" encoding="utf-8"?>
<sst xmlns="http://schemas.openxmlformats.org/spreadsheetml/2006/main" count="1006" uniqueCount="298">
  <si>
    <t>COMMERCIAL INVOICE</t>
  </si>
  <si>
    <t>1.Shipper/Exporter:</t>
  </si>
  <si>
    <t>8.No. &amp; Date of invoice</t>
  </si>
  <si>
    <t xml:space="preserve">SKP CHEMICAL LIMITED
</t>
  </si>
  <si>
    <r>
      <t>SKP-HL260302CYC-1          MAR.14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2026</t>
    </r>
  </si>
  <si>
    <t>FLAT/RM A 12/F, ZJ 300,300 LOCKHARTROAD,WAN CHAI,</t>
  </si>
  <si>
    <t>9.Payment</t>
  </si>
  <si>
    <t>HONG KONG</t>
  </si>
  <si>
    <t>T/T IN ADVANCE</t>
  </si>
  <si>
    <t>10.No. &amp; Date of Contract</t>
  </si>
  <si>
    <t>2. Consignee:</t>
  </si>
  <si>
    <r>
      <rPr>
        <sz val="9"/>
        <rFont val="Times New Roman"/>
        <family val="1"/>
      </rPr>
      <t>SKPCYC260227-002         FEB. 27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2026</t>
    </r>
  </si>
  <si>
    <t xml:space="preserve">CHEMTRONICS CO.,LTD 
</t>
  </si>
  <si>
    <t>11.Remark</t>
  </si>
  <si>
    <t>31BAEIL-GIL JEONDONGP-MYEON SEJONG-SI 339-841,</t>
  </si>
  <si>
    <t xml:space="preserve"> SOUTH KOREA</t>
  </si>
  <si>
    <t>3.Notify Party:</t>
  </si>
  <si>
    <t>SAME AS ABOVE</t>
  </si>
  <si>
    <t>4.Port of Loading</t>
  </si>
  <si>
    <t>5. Final Destination</t>
  </si>
  <si>
    <t>QINGDAO,CHINA</t>
  </si>
  <si>
    <t>BUSAN, KOREA</t>
  </si>
  <si>
    <t>6Vessel/Voy. No.</t>
  </si>
  <si>
    <t>7.Sailing on or About</t>
  </si>
  <si>
    <t>ONE TRIBUTE V.0030W</t>
  </si>
  <si>
    <r>
      <rPr>
        <sz val="9"/>
        <rFont val="Times New Roman"/>
        <family val="1"/>
      </rPr>
      <t xml:space="preserve">  MAR.14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2026</t>
    </r>
  </si>
  <si>
    <t>12.Marks and Number of PKGS</t>
  </si>
  <si>
    <t>13.Description of Goods</t>
  </si>
  <si>
    <t>14.Quantity</t>
  </si>
  <si>
    <t>15.Unit Price</t>
  </si>
  <si>
    <t>16.Amount</t>
  </si>
  <si>
    <t>MT</t>
  </si>
  <si>
    <t>USD/MT</t>
  </si>
  <si>
    <t>USD</t>
  </si>
  <si>
    <t xml:space="preserve">N/M </t>
  </si>
  <si>
    <t xml:space="preserve">CYCLOHEXANONE 99.8% MIN                               </t>
  </si>
  <si>
    <t>PACKING: IN ISOTANK</t>
  </si>
  <si>
    <t>TOTAL</t>
  </si>
  <si>
    <t xml:space="preserve">Signed by                    </t>
  </si>
  <si>
    <t>PACKING LIST</t>
  </si>
  <si>
    <t>FLAT/RM A 12/F, ZJ 300,300 LOCKHARTROAD,</t>
  </si>
  <si>
    <t>WAN CHAI, HONG KONG</t>
  </si>
  <si>
    <t>12.Quantity</t>
  </si>
  <si>
    <t>13.Net weight</t>
  </si>
  <si>
    <t>14.Gross weight</t>
  </si>
  <si>
    <t>15. Measurement</t>
  </si>
  <si>
    <t>PAKING: IN ISOTANK</t>
  </si>
  <si>
    <t xml:space="preserve">CONTAINER NO. </t>
  </si>
  <si>
    <t>NET WEIGHT</t>
  </si>
  <si>
    <t>GROSS WEIGHT</t>
  </si>
  <si>
    <t>RLTU2089095/000386</t>
  </si>
  <si>
    <t>RLTU2126291/000297</t>
  </si>
  <si>
    <t>TGIU3210260/000801</t>
  </si>
  <si>
    <t>TGIU3240201/000373</t>
  </si>
  <si>
    <t>TGIU3246658/000367/</t>
  </si>
  <si>
    <t>5Isotanks</t>
  </si>
  <si>
    <t>KGS</t>
  </si>
  <si>
    <t>125CBM</t>
  </si>
  <si>
    <t xml:space="preserve">Signed  by                                                             </t>
  </si>
  <si>
    <r>
      <rPr>
        <sz val="9"/>
        <rFont val="Times New Roman"/>
        <family val="1"/>
      </rPr>
      <t>SKP-HL260121CYC-33      FEB.13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2026</t>
    </r>
  </si>
  <si>
    <r>
      <rPr>
        <sz val="9"/>
        <rFont val="Times New Roman"/>
        <family val="1"/>
      </rPr>
      <t>SKPCYC260114-001          JAN.14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2026</t>
    </r>
  </si>
  <si>
    <t>HUI DE/2611E</t>
  </si>
  <si>
    <r>
      <rPr>
        <sz val="9"/>
        <rFont val="Times New Roman"/>
        <family val="1"/>
      </rPr>
      <t xml:space="preserve">  FEB. 13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2026</t>
    </r>
  </si>
  <si>
    <r>
      <rPr>
        <sz val="9"/>
        <rFont val="Times New Roman"/>
        <family val="1"/>
      </rPr>
      <t>SKP-HL260121CYC-33       FEB. 13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2026</t>
    </r>
  </si>
  <si>
    <t>31BAEIL-GIL JEONDONGP-MYEON SEJONG-SI</t>
  </si>
  <si>
    <t xml:space="preserve">  339-841, SOUTH KOREA</t>
  </si>
  <si>
    <r>
      <rPr>
        <sz val="9"/>
        <rFont val="Times New Roman"/>
        <family val="1"/>
      </rPr>
      <t xml:space="preserve">   FEB. 13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2026</t>
    </r>
  </si>
  <si>
    <t>N.W</t>
  </si>
  <si>
    <t>G.W.</t>
  </si>
  <si>
    <t>HOYU9652309</t>
  </si>
  <si>
    <t>/081452</t>
  </si>
  <si>
    <t>HGTU9620556</t>
  </si>
  <si>
    <t>/081481</t>
  </si>
  <si>
    <t>GESU8052638</t>
  </si>
  <si>
    <t>/081462</t>
  </si>
  <si>
    <t>RLTU2620405</t>
  </si>
  <si>
    <t>/081440</t>
  </si>
  <si>
    <t>TIFU1768580</t>
  </si>
  <si>
    <t>/081409</t>
  </si>
  <si>
    <t>HOYU9650395</t>
  </si>
  <si>
    <t>/081405</t>
  </si>
  <si>
    <t>6 Isotanks</t>
  </si>
  <si>
    <t>150CBM</t>
  </si>
  <si>
    <t xml:space="preserve">HEBEI KEZHENG CHEMICAL CO., LTD.
</t>
  </si>
  <si>
    <r>
      <rPr>
        <sz val="9"/>
        <rFont val="Times New Roman"/>
        <family val="1"/>
      </rPr>
      <t>KZHA250525-001                           MAY 25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2025</t>
    </r>
  </si>
  <si>
    <t>4 Haoyang Road,Handan New Chemical IndustrialPark,</t>
  </si>
  <si>
    <t>9.No. &amp; Date of L/C</t>
  </si>
  <si>
    <t>ShoushansiTown,Guantao County</t>
  </si>
  <si>
    <r>
      <rPr>
        <sz val="9"/>
        <rFont val="Times New Roman"/>
        <family val="1"/>
      </rPr>
      <t>KZHA240520-001                 MAY 20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2025</t>
    </r>
  </si>
  <si>
    <t>11.Remark                                                                                                         T/T IN ADVANCE</t>
  </si>
  <si>
    <t>SHANGHAI PORT</t>
  </si>
  <si>
    <t>BUSAN PORT</t>
  </si>
  <si>
    <t>JUNE.  2025</t>
  </si>
  <si>
    <t>PRICE TERMS</t>
  </si>
  <si>
    <t>FCA SHANGHAI</t>
  </si>
  <si>
    <t xml:space="preserve">N/M                               </t>
  </si>
  <si>
    <t xml:space="preserve">HEPTANOIC ACID                                     </t>
  </si>
  <si>
    <r>
      <rPr>
        <b/>
        <sz val="9"/>
        <rFont val="Times New Roman"/>
        <family val="1"/>
      </rPr>
      <t>PACKING</t>
    </r>
    <r>
      <rPr>
        <b/>
        <sz val="9"/>
        <rFont val="宋体"/>
        <charset val="134"/>
      </rPr>
      <t>：</t>
    </r>
    <r>
      <rPr>
        <b/>
        <sz val="9"/>
        <rFont val="Times New Roman"/>
        <family val="1"/>
      </rPr>
      <t>180KG/DRUM</t>
    </r>
  </si>
  <si>
    <t>COUNTRY OF ORIGIN: CHINA</t>
  </si>
  <si>
    <t xml:space="preserve">       </t>
  </si>
  <si>
    <t>4.32MT</t>
  </si>
  <si>
    <t>USD4,670</t>
  </si>
  <si>
    <r>
      <rPr>
        <sz val="9"/>
        <rFont val="Times New Roman"/>
        <family val="1"/>
      </rPr>
      <t>KZHA240701-001                                   JUL. 1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2024</t>
    </r>
  </si>
  <si>
    <t xml:space="preserve">9.Remarks                                                                                                                                </t>
  </si>
  <si>
    <t>AS SOPHIA 427N</t>
  </si>
  <si>
    <t>24 JUL.  2024</t>
  </si>
  <si>
    <t>12. Quantity</t>
  </si>
  <si>
    <t>13.NET WEIGHT</t>
  </si>
  <si>
    <t>14.GROSS WEIGHT</t>
  </si>
  <si>
    <t>15. MEASUREMENT</t>
  </si>
  <si>
    <t>HEPTANOIC ACID                                     PACKING180KG/DRUM</t>
  </si>
  <si>
    <t>PACKING:180KG/DRUM</t>
  </si>
  <si>
    <t>24DRUMS</t>
  </si>
  <si>
    <t>4320KGS</t>
  </si>
  <si>
    <t>4524KGS</t>
  </si>
  <si>
    <t>8.77CBM</t>
  </si>
  <si>
    <t xml:space="preserve">                                                                                                                            </t>
  </si>
  <si>
    <t xml:space="preserve">                                                             </t>
  </si>
  <si>
    <t xml:space="preserve">Signed  by                                                      </t>
  </si>
  <si>
    <r>
      <rPr>
        <sz val="9"/>
        <rFont val="Times New Roman"/>
        <family val="1"/>
      </rPr>
      <t>KZHA240701-001                              JUL. 1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2024</t>
    </r>
  </si>
  <si>
    <t xml:space="preserve"> KYUNGSAN C&amp;T
</t>
  </si>
  <si>
    <r>
      <rPr>
        <sz val="9"/>
        <rFont val="Times New Roman"/>
        <family val="1"/>
      </rPr>
      <t>KZHA240701-001                            JUL. 1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2024</t>
    </r>
  </si>
  <si>
    <t xml:space="preserve">20-2, HEUNGAN-DAERO 439BEON-GIL, DONGAN-GU, ANYANG-SI, </t>
  </si>
  <si>
    <t>GYEONGGI-DO, KOREA</t>
  </si>
  <si>
    <t>ANYANG-SI,  GYEONGGI-DO, KOREA</t>
  </si>
  <si>
    <t>CIF BUSAN</t>
  </si>
  <si>
    <t>USD5,600MT</t>
  </si>
  <si>
    <t xml:space="preserve">20-2, HEUNGAN-DAERO 439BEON-GIL, DONGAN-GU, </t>
  </si>
  <si>
    <r>
      <rPr>
        <sz val="9"/>
        <rFont val="Times New Roman"/>
        <family val="1"/>
      </rPr>
      <t>SG3786469HK                                           AUG. 22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 xml:space="preserve"> 2025</t>
    </r>
  </si>
  <si>
    <t xml:space="preserve">10.No. &amp; Date of Proforma invoice </t>
  </si>
  <si>
    <r>
      <rPr>
        <sz val="9"/>
        <rFont val="Times New Roman"/>
        <family val="1"/>
      </rPr>
      <t>SKPAMS250724-001                         JUL. 24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2025</t>
    </r>
  </si>
  <si>
    <t xml:space="preserve">20-2, HEUNGAN-DAERO 439BEON-GIL, DONGAN-GU, 
</t>
  </si>
  <si>
    <t>YANTAI ,CHINA</t>
  </si>
  <si>
    <t>NAGOYA ,JAPAN</t>
  </si>
  <si>
    <t>SITC YANTAI /2539E</t>
  </si>
  <si>
    <r>
      <rPr>
        <sz val="9"/>
        <rFont val="Times New Roman"/>
        <family val="1"/>
      </rPr>
      <t>23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AUG.  2025</t>
    </r>
  </si>
  <si>
    <t>JPY/KG</t>
  </si>
  <si>
    <t>JPY</t>
  </si>
  <si>
    <r>
      <rPr>
        <b/>
        <sz val="9"/>
        <rFont val="Times New Roman"/>
        <family val="1"/>
      </rPr>
      <t xml:space="preserve"> AMS</t>
    </r>
    <r>
      <rPr>
        <b/>
        <sz val="9"/>
        <rFont val="宋体"/>
        <charset val="134"/>
      </rPr>
      <t>（</t>
    </r>
    <r>
      <rPr>
        <b/>
        <sz val="9"/>
        <rFont val="Times New Roman"/>
        <family val="1"/>
      </rPr>
      <t>a- METHYLSTYRENE)</t>
    </r>
  </si>
  <si>
    <r>
      <rPr>
        <b/>
        <sz val="9"/>
        <rFont val="Times New Roman"/>
        <family val="1"/>
      </rPr>
      <t>PACKING</t>
    </r>
    <r>
      <rPr>
        <b/>
        <sz val="9"/>
        <rFont val="宋体"/>
        <charset val="134"/>
      </rPr>
      <t>：</t>
    </r>
    <r>
      <rPr>
        <b/>
        <sz val="9"/>
        <rFont val="Times New Roman"/>
        <family val="1"/>
      </rPr>
      <t xml:space="preserve">21.34MT IN  ISOTANK </t>
    </r>
  </si>
  <si>
    <t>21,340KGS</t>
  </si>
  <si>
    <r>
      <rPr>
        <sz val="9"/>
        <rFont val="Times New Roman"/>
        <family val="1"/>
      </rPr>
      <t>SG3786469HK                                                     AUG. 22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 xml:space="preserve"> 2025</t>
    </r>
  </si>
  <si>
    <t>ISOTANK NO.</t>
  </si>
  <si>
    <t>NET WEIGHTS</t>
  </si>
  <si>
    <t>TIFU2257938</t>
  </si>
  <si>
    <t xml:space="preserve">                     </t>
  </si>
  <si>
    <t>1ISOTANKS</t>
  </si>
  <si>
    <t>20CBM</t>
  </si>
  <si>
    <t>PROFORMA  INVOICE</t>
  </si>
  <si>
    <t>1.Seller:</t>
  </si>
  <si>
    <t>7.No. &amp; Date of Proforma invoice</t>
  </si>
  <si>
    <r>
      <rPr>
        <sz val="9"/>
        <rFont val="Times New Roman"/>
        <family val="1"/>
      </rPr>
      <t>SKPAMS241126-001                            NOV. 26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2024</t>
    </r>
  </si>
  <si>
    <t>8.Payment Terms</t>
  </si>
  <si>
    <r>
      <rPr>
        <b/>
        <sz val="9"/>
        <rFont val="Times New Roman"/>
        <family val="1"/>
      </rPr>
      <t>2. Buyer</t>
    </r>
    <r>
      <rPr>
        <b/>
        <sz val="9"/>
        <rFont val="宋体"/>
        <charset val="134"/>
      </rPr>
      <t>：</t>
    </r>
  </si>
  <si>
    <r>
      <rPr>
        <b/>
        <sz val="9"/>
        <rFont val="Times New Roman"/>
        <family val="1"/>
      </rPr>
      <t xml:space="preserve">9.Remark </t>
    </r>
    <r>
      <rPr>
        <sz val="9"/>
        <rFont val="Times New Roman"/>
        <family val="1"/>
      </rPr>
      <t xml:space="preserve">                                                                                                Tolerance (±5% ) by Seller in quantity is acceptable.                                                                                                                                                             </t>
    </r>
  </si>
  <si>
    <t>3.Port of Loading</t>
  </si>
  <si>
    <t>4. Port of Discharge</t>
  </si>
  <si>
    <t>QINGDAO PORT</t>
  </si>
  <si>
    <t>NAGOYA PORT</t>
  </si>
  <si>
    <t>5.Shipment:</t>
  </si>
  <si>
    <t>6.Incoterms</t>
  </si>
  <si>
    <t>JAN.2025</t>
  </si>
  <si>
    <t xml:space="preserve">CFR NAGOYA    </t>
  </si>
  <si>
    <t>10. Shipping Mark</t>
  </si>
  <si>
    <t>11.Description of Goods</t>
  </si>
  <si>
    <t>12.Quantity           (KG)</t>
  </si>
  <si>
    <t>13.  Unit Price (JPY/MT)</t>
  </si>
  <si>
    <t>14.  Amount            (JPY)</t>
  </si>
  <si>
    <t>AMS</t>
  </si>
  <si>
    <r>
      <rPr>
        <b/>
        <sz val="9"/>
        <rFont val="Times New Roman"/>
        <family val="1"/>
      </rPr>
      <t>PACKING</t>
    </r>
    <r>
      <rPr>
        <b/>
        <sz val="9"/>
        <rFont val="宋体"/>
        <charset val="134"/>
      </rPr>
      <t>：</t>
    </r>
    <r>
      <rPr>
        <b/>
        <sz val="9"/>
        <rFont val="Times New Roman"/>
        <family val="1"/>
      </rPr>
      <t xml:space="preserve">22MT (+/-5%) PER ISOTANK </t>
    </r>
  </si>
  <si>
    <r>
      <rPr>
        <b/>
        <sz val="9"/>
        <rFont val="Times New Roman"/>
        <family val="1"/>
      </rPr>
      <t>(+/-5%</t>
    </r>
    <r>
      <rPr>
        <b/>
        <sz val="9"/>
        <rFont val="宋体"/>
        <charset val="134"/>
      </rPr>
      <t>）</t>
    </r>
  </si>
  <si>
    <t>Beneficiary           :  SKP CHEMICAL LIMITED</t>
  </si>
  <si>
    <t>Bank Name           :  The Hongkong and Shanghai Banking Corporation Limited</t>
  </si>
  <si>
    <t>A/C No                :  747-270601-838</t>
  </si>
  <si>
    <t>Bank address          : 1 Queen's Road, Central, Hong Kong</t>
  </si>
  <si>
    <t xml:space="preserve">Swift Code            :  HSBCHKHHHKH  </t>
  </si>
  <si>
    <t>SKP CHEMICAL LIMITED</t>
  </si>
  <si>
    <t xml:space="preserve"> KYUNGSAN C&amp;T</t>
  </si>
  <si>
    <t>CGSKP20240822-001                             AUG. 22, 2024</t>
  </si>
  <si>
    <t xml:space="preserve">NEW POWER (HONG KONG)INDUSTRIAL LIMITED
</t>
  </si>
  <si>
    <t>CGSKP20240807001                                  AUG. 7, 2024</t>
  </si>
  <si>
    <t xml:space="preserve">UNIT DO1 3/F, WONG KING INDUSTRIAL BUILDINGNO.2, </t>
  </si>
  <si>
    <t>TAI YAU STREETKOWLOON, HONGKONG</t>
  </si>
  <si>
    <t xml:space="preserve">KWANGYANG PORT </t>
  </si>
  <si>
    <t>DONGJIN ENTERPRISE 0205W</t>
  </si>
  <si>
    <t>26 AUG.  2024</t>
  </si>
  <si>
    <t>CIF SHANGHAI PORT</t>
  </si>
  <si>
    <t>CRUDE GLYCERINE 80% MIN</t>
  </si>
  <si>
    <t>PACKING: IN FLEXIBAG</t>
  </si>
  <si>
    <t>60.89MT</t>
  </si>
  <si>
    <t>USD330/MT</t>
  </si>
  <si>
    <t>CRUDE GLYCERINE 80% MIN.</t>
  </si>
  <si>
    <t>CNTR NO.&amp;SEAL NO.</t>
  </si>
  <si>
    <t>N.W(KGS)</t>
  </si>
  <si>
    <t>G.W(KGS)</t>
  </si>
  <si>
    <t>DYLU2151996/DYL706224</t>
  </si>
  <si>
    <t>DYLU2123905/DYL706416</t>
  </si>
  <si>
    <t>DYLU2121965/DYL706784</t>
  </si>
  <si>
    <t>3 Flexibag</t>
  </si>
  <si>
    <t>60,890KGS</t>
  </si>
  <si>
    <t>61,190KGS</t>
  </si>
  <si>
    <t>9.PAYMENT:</t>
  </si>
  <si>
    <t>20% T/T IN ADVANCE AND BALANCE AGAINST BL COPY</t>
  </si>
  <si>
    <t>QINGDAO EASY-TECH IMP.&amp;EXP. CO.,LTD</t>
  </si>
  <si>
    <t>SKPLAS24206-001                             DEC. 6, 2024</t>
  </si>
  <si>
    <t xml:space="preserve">RM A 903, ART&amp; TECHNOLOGY SPACE, NO. 63, HAIER RD.,
</t>
  </si>
  <si>
    <t>LAOSHAN DISTRICT ,QINGDAO, CHINA</t>
  </si>
  <si>
    <t>KWANGYANG, KOREA</t>
  </si>
  <si>
    <t>13 DEC.  2024</t>
  </si>
  <si>
    <t>CIF QINGDAO PORT</t>
  </si>
  <si>
    <t>ELOTANT LAS100</t>
  </si>
  <si>
    <t>(+/-5%)</t>
  </si>
  <si>
    <t>12989805                                                        DEC.11,2024</t>
  </si>
  <si>
    <t>SKPLAS241206-001                                        DEC. 06, 2024</t>
  </si>
  <si>
    <t>PANCON VICTORY2429W</t>
  </si>
  <si>
    <t>14 DEC. 2024</t>
  </si>
  <si>
    <t>CIF QINGDAO</t>
  </si>
  <si>
    <t>PACKING: ISOTANK</t>
  </si>
  <si>
    <t>ZD-SKP240313                                                                  MAR. 20,2024</t>
  </si>
  <si>
    <t>SKPDA240313-001                                                            MAR.13, 2024</t>
  </si>
  <si>
    <t>FUZHOU, CHINA</t>
  </si>
  <si>
    <t>BUSAN,SOUTH KOREA</t>
  </si>
  <si>
    <t>SKY HOPE 2405N</t>
  </si>
  <si>
    <r>
      <rPr>
        <sz val="9"/>
        <rFont val="Times New Roman"/>
        <family val="1"/>
      </rPr>
      <t>29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MAR.  2024</t>
    </r>
  </si>
  <si>
    <t>CIF BUSAN SOUTH KOREA</t>
  </si>
  <si>
    <t>DIMER ACID</t>
  </si>
  <si>
    <t>MANUFACTURE</t>
  </si>
  <si>
    <t>QUANTITY: 15.2MT</t>
  </si>
  <si>
    <t>DATE:2024-03-15</t>
  </si>
  <si>
    <t>PACKING : 190KGS PER DRUM</t>
  </si>
  <si>
    <t>BATCH NO.:20240315</t>
  </si>
  <si>
    <t>N.W:190KGS/DRUM</t>
  </si>
  <si>
    <t>G.W:208KGS/DRUM</t>
  </si>
  <si>
    <t>MADE IN CHINA</t>
  </si>
  <si>
    <t>15.2MT</t>
  </si>
  <si>
    <t>USD27,208.00</t>
  </si>
  <si>
    <t>ZD-SKP240313                                    MAR. 20,2024</t>
  </si>
  <si>
    <t>80DRUMS</t>
  </si>
  <si>
    <t>15,200KGS</t>
  </si>
  <si>
    <t>16,640KGS</t>
  </si>
  <si>
    <t>23CBM</t>
  </si>
  <si>
    <t>SKP2EH240227-001                                         FEB 27,2024</t>
  </si>
  <si>
    <t xml:space="preserve">XINNUO LIXING (HUANGHUA) GROUP CO., LTD.
</t>
  </si>
  <si>
    <t>KPS2EH240109-001                        JAN. 9  2024</t>
  </si>
  <si>
    <t xml:space="preserve">LVQIAO INDUSTRY ZONE HUANGHUA CITY,
</t>
  </si>
  <si>
    <t>HEBEI PROVINCE, CHINA</t>
  </si>
  <si>
    <t>XINGANG, CHINA</t>
  </si>
  <si>
    <t>STAR CLPPER 2402W</t>
  </si>
  <si>
    <r>
      <rPr>
        <sz val="9"/>
        <rFont val="Times New Roman"/>
        <family val="1"/>
      </rPr>
      <t>2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 xml:space="preserve"> MAR.  2024</t>
    </r>
  </si>
  <si>
    <t>CIF XINGANG, CHINA</t>
  </si>
  <si>
    <t>2-EH
(2-ETHYL HEXANOL)</t>
  </si>
  <si>
    <t>QUANTITY: 190MT</t>
  </si>
  <si>
    <t>PACKING : 19MT PER ISOTANK</t>
  </si>
  <si>
    <t>190MT</t>
  </si>
  <si>
    <t>USD277,400.00</t>
  </si>
  <si>
    <t xml:space="preserve">2-EH
</t>
  </si>
  <si>
    <t>(2-ETHYL HEXANOL)</t>
  </si>
  <si>
    <t>10ISOTANKS</t>
  </si>
  <si>
    <t>190,000KGS</t>
  </si>
  <si>
    <t>226,560KGS</t>
  </si>
  <si>
    <t>250CBM</t>
  </si>
  <si>
    <t>SKP-HL202601038DMC                  FEB.09  ,2026</t>
  </si>
  <si>
    <t>SKPDMC260130-001                         JAN.30, 2026</t>
  </si>
  <si>
    <t>11.Remark                                                                                                         90% T/T IN ADVANCE AND BALANCE  AGAINST B/L COPY</t>
  </si>
  <si>
    <t>POS SHANGHAI/1296E</t>
  </si>
  <si>
    <r>
      <rPr>
        <sz val="9"/>
        <rFont val="Times New Roman"/>
        <family val="1"/>
      </rPr>
      <t>MAR.03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 xml:space="preserve"> 2026</t>
    </r>
  </si>
  <si>
    <t>CNY/MT</t>
  </si>
  <si>
    <t>CNY</t>
  </si>
  <si>
    <t>DIMETHYL CARBONATE(DMC)</t>
  </si>
  <si>
    <t>QUANTITY:43.98MT</t>
  </si>
  <si>
    <t>PACKING:IN ISOTANK</t>
  </si>
  <si>
    <t>PRICE TERMS:CIF BUSAN KOREA</t>
  </si>
  <si>
    <t>43.9MT</t>
  </si>
  <si>
    <t>EXFU8918060</t>
  </si>
  <si>
    <t>21,980KGS</t>
  </si>
  <si>
    <t>EURU1362344</t>
  </si>
  <si>
    <t>22,000KGS</t>
  </si>
  <si>
    <t>2ISOTANKS</t>
  </si>
  <si>
    <t>43,980KGS</t>
  </si>
  <si>
    <t>50CBM</t>
  </si>
  <si>
    <t>SKY-THF-20230531                                                       MAY 31,2023</t>
  </si>
  <si>
    <t>SKPTHF230601-001                                                        JUN. 1 2023</t>
  </si>
  <si>
    <t>ZHANGJIAGANG PORT</t>
  </si>
  <si>
    <t>TIANYIFAZHAN 2356</t>
  </si>
  <si>
    <r>
      <rPr>
        <sz val="9"/>
        <rFont val="Times New Roman"/>
        <family val="1"/>
      </rPr>
      <t>14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 xml:space="preserve"> JUL.  2023</t>
    </r>
  </si>
  <si>
    <t>CIF HUANGPU, CHINA</t>
  </si>
  <si>
    <t xml:space="preserve">THF(TETRAHYDROFURAN) </t>
  </si>
  <si>
    <t>QUANTITY: 7.2MT</t>
  </si>
  <si>
    <t>PACKING : 180KGS PER DRUM</t>
  </si>
  <si>
    <t>7.2MT</t>
  </si>
  <si>
    <t>USD15,120.00</t>
  </si>
  <si>
    <t>SKY-THF-20230531                                      MAY 31,2023</t>
  </si>
  <si>
    <t>EASLINE KWANGYANG 2333E</t>
  </si>
  <si>
    <r>
      <rPr>
        <sz val="9"/>
        <rFont val="Times New Roman"/>
        <family val="1"/>
      </rPr>
      <t>17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 xml:space="preserve"> AUG.  2023</t>
    </r>
  </si>
  <si>
    <t>40DRUMS</t>
  </si>
  <si>
    <t>7,200KGS</t>
  </si>
  <si>
    <t>7,944KGS</t>
  </si>
  <si>
    <t>8CBM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</si>
</sst>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26" formatCode="\$#,##0.00_);[Red]\(\$#,##0.00\)"/>
    <numFmt numFmtId="178" formatCode="_ * #,##0.00_ ;_ * \-#,##0.00_ ;_ * &quot;-&quot;??_ ;_ @_ "/>
    <numFmt numFmtId="180" formatCode="_ * #,##0.0_ ;_ * \-#,##0.0_ ;_ * &quot;-&quot;??_ ;_ @_ "/>
    <numFmt numFmtId="181" formatCode="0.00_ "/>
    <numFmt numFmtId="182" formatCode="0.0_ "/>
    <numFmt numFmtId="183" formatCode="_ * #,##0.000_ ;_ * \-#,##0.000_ ;_ * &quot;-&quot;??_ ;_ @_ "/>
    <numFmt numFmtId="184" formatCode="_ * #,##0_ ;_ * \-#,##0_ ;_ * &quot;-&quot;??_ ;_ @_ "/>
    <numFmt numFmtId="185" formatCode="[$CNY]\ #,##0.00;[$CNY]\ \-#,##0.00"/>
    <numFmt numFmtId="186" formatCode="&quot;US$&quot;#,##0.00;\-&quot;US$&quot;#,##0.00"/>
    <numFmt numFmtId="187" formatCode="#,##0_);[Red]\(#,##0\)"/>
    <numFmt numFmtId="188" formatCode="#,##0.00_);[Red]\(#,##0.00\)"/>
    <numFmt numFmtId="189" formatCode="#,##0_ "/>
    <numFmt numFmtId="190" formatCode="#,##0.0_ "/>
    <numFmt numFmtId="191" formatCode="[$JPY]\ #,##0.00;[$JPY]\ \-#,##0.00"/>
    <numFmt numFmtId="192" formatCode="\$#,##0.00;\-\$#,##0.00"/>
  </numFmts>
  <fonts count="26">
    <font>
      <sz val="12"/>
      <name val="宋体"/>
      <charset val="134"/>
    </font>
    <font>
      <sz val="9"/>
      <name val="Times New Roman"/>
      <family val="1"/>
    </font>
    <font>
      <b/>
      <sz val="16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u/>
      <sz val="9"/>
      <name val="Times New Roman"/>
      <family val="1"/>
    </font>
    <font>
      <sz val="10"/>
      <name val="Times New Roman"/>
      <family val="1"/>
    </font>
    <font>
      <b/>
      <u/>
      <sz val="12"/>
      <name val="Times New Roman"/>
      <family val="1"/>
    </font>
    <font>
      <b/>
      <sz val="9"/>
      <color theme="1" tint="0.14993743705557422"/>
      <name val="Times New Roman"/>
      <family val="1"/>
    </font>
    <font>
      <sz val="12"/>
      <name val="Times New Roman"/>
      <family val="1"/>
    </font>
    <font>
      <sz val="9"/>
      <color theme="1" tint="0.14993743705557422"/>
      <name val="Times New Roman"/>
      <family val="1"/>
    </font>
    <font>
      <sz val="9"/>
      <name val="宋体"/>
      <charset val="134"/>
    </font>
    <font>
      <b/>
      <sz val="9"/>
      <name val="Malgun Gothic"/>
      <charset val="134"/>
    </font>
    <font>
      <b/>
      <sz val="10.5"/>
      <name val="Malgun Gothic"/>
      <charset val="134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9"/>
      <color rgb="FF000000"/>
      <name val="Times New Roman"/>
      <family val="1"/>
    </font>
    <font>
      <b/>
      <sz val="9"/>
      <color indexed="8"/>
      <name val="Times New Roman"/>
      <family val="1"/>
    </font>
    <font>
      <b/>
      <sz val="9"/>
      <color rgb="FF000000"/>
      <name val="Times New Roman"/>
      <family val="1"/>
    </font>
    <font>
      <sz val="10"/>
      <color theme="1"/>
      <name val="Malgun Gothic"/>
      <charset val="129"/>
    </font>
    <font>
      <sz val="10"/>
      <name val="Arial"/>
      <family val="2"/>
    </font>
    <font>
      <sz val="10"/>
      <color rgb="FF000000"/>
      <name val="宋体"/>
      <charset val="134"/>
    </font>
    <font>
      <b/>
      <sz val="9"/>
      <name val="宋体"/>
      <charset val="134"/>
    </font>
    <font>
      <sz val="12"/>
      <name val="宋体"/>
      <charset val="134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>
      <alignment vertical="center"/>
    </xf>
    <xf numFmtId="178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1" fillId="0" borderId="0"/>
    <xf numFmtId="0" fontId="21" fillId="0" borderId="0"/>
    <xf numFmtId="0" fontId="22" fillId="3" borderId="0">
      <alignment horizontal="center" vertical="center"/>
    </xf>
  </cellStyleXfs>
  <cellXfs count="2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justify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justify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justify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0" fontId="3" fillId="0" borderId="0" xfId="0" applyFont="1" applyAlignment="1">
      <alignment vertical="top" wrapText="1"/>
    </xf>
    <xf numFmtId="0" fontId="3" fillId="0" borderId="0" xfId="0" applyFont="1">
      <alignment vertical="center"/>
    </xf>
    <xf numFmtId="180" fontId="1" fillId="0" borderId="0" xfId="1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181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81" fontId="3" fillId="0" borderId="0" xfId="0" applyNumberFormat="1" applyFont="1" applyAlignment="1">
      <alignment horizontal="center" vertical="top" wrapText="1"/>
    </xf>
    <xf numFmtId="0" fontId="5" fillId="0" borderId="0" xfId="0" applyFont="1">
      <alignment vertical="center"/>
    </xf>
    <xf numFmtId="0" fontId="3" fillId="0" borderId="4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180" fontId="3" fillId="0" borderId="0" xfId="1" applyNumberFormat="1" applyFont="1" applyAlignment="1">
      <alignment horizontal="center" vertical="top" wrapText="1"/>
    </xf>
    <xf numFmtId="178" fontId="3" fillId="0" borderId="0" xfId="1" applyFont="1" applyAlignment="1">
      <alignment horizontal="center" vertical="top" wrapText="1"/>
    </xf>
    <xf numFmtId="178" fontId="0" fillId="0" borderId="0" xfId="0" applyNumberFormat="1">
      <alignment vertical="center"/>
    </xf>
    <xf numFmtId="178" fontId="1" fillId="0" borderId="0" xfId="1" applyFont="1" applyAlignment="1">
      <alignment horizontal="center" vertical="top" wrapText="1"/>
    </xf>
    <xf numFmtId="182" fontId="1" fillId="0" borderId="0" xfId="0" applyNumberFormat="1" applyFont="1" applyAlignment="1">
      <alignment horizontal="center" vertical="top" wrapText="1"/>
    </xf>
    <xf numFmtId="183" fontId="3" fillId="0" borderId="0" xfId="1" applyNumberFormat="1" applyFont="1" applyAlignment="1">
      <alignment horizontal="center" vertical="top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justify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justify" vertical="center" wrapText="1"/>
    </xf>
    <xf numFmtId="0" fontId="3" fillId="0" borderId="0" xfId="0" applyFont="1" applyAlignment="1">
      <alignment horizontal="left" vertical="center"/>
    </xf>
    <xf numFmtId="0" fontId="1" fillId="0" borderId="9" xfId="0" applyFont="1" applyBorder="1">
      <alignment vertical="center"/>
    </xf>
    <xf numFmtId="0" fontId="3" fillId="0" borderId="0" xfId="0" applyFont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/>
    </xf>
    <xf numFmtId="178" fontId="3" fillId="0" borderId="0" xfId="0" applyNumberFormat="1" applyFont="1" applyAlignment="1">
      <alignment horizontal="center" vertical="top" wrapText="1"/>
    </xf>
    <xf numFmtId="49" fontId="8" fillId="2" borderId="0" xfId="0" applyNumberFormat="1" applyFont="1" applyFill="1">
      <alignment vertical="center"/>
    </xf>
    <xf numFmtId="49" fontId="3" fillId="2" borderId="0" xfId="0" applyNumberFormat="1" applyFont="1" applyFill="1">
      <alignment vertical="center"/>
    </xf>
    <xf numFmtId="185" fontId="3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184" fontId="3" fillId="0" borderId="0" xfId="1" applyNumberFormat="1" applyFont="1" applyAlignment="1">
      <alignment horizontal="center" vertical="top" wrapText="1"/>
    </xf>
    <xf numFmtId="178" fontId="3" fillId="0" borderId="0" xfId="1" applyFont="1" applyAlignment="1">
      <alignment vertical="top" wrapText="1"/>
    </xf>
    <xf numFmtId="4" fontId="3" fillId="0" borderId="0" xfId="0" applyNumberFormat="1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9" fillId="0" borderId="0" xfId="0" applyFont="1">
      <alignment vertical="center"/>
    </xf>
    <xf numFmtId="186" fontId="3" fillId="0" borderId="0" xfId="1" applyNumberFormat="1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1" xfId="0" applyBorder="1">
      <alignment vertical="center"/>
    </xf>
    <xf numFmtId="187" fontId="1" fillId="0" borderId="0" xfId="0" applyNumberFormat="1" applyFont="1" applyAlignment="1">
      <alignment horizontal="center" vertical="center" wrapText="1"/>
    </xf>
    <xf numFmtId="188" fontId="1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vertical="top" wrapText="1"/>
    </xf>
    <xf numFmtId="189" fontId="8" fillId="2" borderId="10" xfId="0" applyNumberFormat="1" applyFont="1" applyFill="1" applyBorder="1">
      <alignment vertical="center"/>
    </xf>
    <xf numFmtId="189" fontId="8" fillId="2" borderId="0" xfId="0" applyNumberFormat="1" applyFont="1" applyFill="1">
      <alignment vertical="center"/>
    </xf>
    <xf numFmtId="49" fontId="10" fillId="2" borderId="0" xfId="0" applyNumberFormat="1" applyFont="1" applyFill="1">
      <alignment vertical="center"/>
    </xf>
    <xf numFmtId="0" fontId="1" fillId="2" borderId="0" xfId="0" applyFont="1" applyFill="1" applyAlignment="1">
      <alignment horizontal="right" vertical="top" wrapText="1"/>
    </xf>
    <xf numFmtId="189" fontId="10" fillId="2" borderId="0" xfId="0" applyNumberFormat="1" applyFont="1" applyFill="1">
      <alignment vertical="center"/>
    </xf>
    <xf numFmtId="0" fontId="3" fillId="2" borderId="0" xfId="0" applyFont="1" applyFill="1" applyAlignment="1">
      <alignment horizontal="right" vertical="top" wrapText="1"/>
    </xf>
    <xf numFmtId="190" fontId="3" fillId="0" borderId="0" xfId="0" applyNumberFormat="1" applyFont="1" applyAlignment="1">
      <alignment horizontal="right" vertical="top" wrapText="1"/>
    </xf>
    <xf numFmtId="181" fontId="3" fillId="0" borderId="13" xfId="0" applyNumberFormat="1" applyFont="1" applyBorder="1" applyAlignment="1">
      <alignment horizontal="right" vertical="top" wrapText="1"/>
    </xf>
    <xf numFmtId="0" fontId="1" fillId="0" borderId="0" xfId="0" applyFont="1" applyAlignment="1">
      <alignment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vertical="top" wrapText="1"/>
    </xf>
    <xf numFmtId="0" fontId="3" fillId="0" borderId="10" xfId="0" applyFont="1" applyBorder="1" applyAlignment="1">
      <alignment horizontal="justify" vertical="top" wrapText="1"/>
    </xf>
    <xf numFmtId="178" fontId="3" fillId="0" borderId="15" xfId="1" applyFont="1" applyBorder="1" applyAlignment="1">
      <alignment horizontal="center" vertical="top" wrapText="1"/>
    </xf>
    <xf numFmtId="178" fontId="3" fillId="0" borderId="16" xfId="1" applyFont="1" applyBorder="1" applyAlignment="1">
      <alignment horizontal="center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center" vertical="top" wrapText="1"/>
    </xf>
    <xf numFmtId="0" fontId="11" fillId="0" borderId="16" xfId="0" applyFont="1" applyBorder="1">
      <alignment vertical="center"/>
    </xf>
    <xf numFmtId="0" fontId="3" fillId="0" borderId="16" xfId="0" applyFont="1" applyBorder="1" applyAlignment="1">
      <alignment vertical="top" wrapText="1"/>
    </xf>
    <xf numFmtId="178" fontId="1" fillId="0" borderId="16" xfId="1" applyFont="1" applyBorder="1" applyAlignment="1">
      <alignment horizontal="center" vertical="top" wrapText="1"/>
    </xf>
    <xf numFmtId="0" fontId="3" fillId="0" borderId="12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183" fontId="3" fillId="0" borderId="22" xfId="1" applyNumberFormat="1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191" fontId="3" fillId="0" borderId="23" xfId="1" applyNumberFormat="1" applyFont="1" applyBorder="1" applyAlignment="1">
      <alignment horizontal="center" vertical="top" wrapText="1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178" fontId="3" fillId="0" borderId="0" xfId="1" applyFont="1" applyBorder="1" applyAlignment="1">
      <alignment horizontal="center" vertical="top" wrapText="1"/>
    </xf>
    <xf numFmtId="191" fontId="3" fillId="0" borderId="0" xfId="1" applyNumberFormat="1" applyFont="1" applyAlignment="1">
      <alignment vertical="top" wrapText="1"/>
    </xf>
    <xf numFmtId="189" fontId="3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center"/>
    </xf>
    <xf numFmtId="0" fontId="3" fillId="0" borderId="15" xfId="0" applyFont="1" applyBorder="1" applyAlignment="1">
      <alignment horizontal="justify" vertical="top" wrapText="1"/>
    </xf>
    <xf numFmtId="0" fontId="1" fillId="0" borderId="24" xfId="0" applyFont="1" applyBorder="1" applyAlignment="1">
      <alignment horizontal="justify" vertical="center" wrapText="1"/>
    </xf>
    <xf numFmtId="15" fontId="1" fillId="0" borderId="12" xfId="0" applyNumberFormat="1" applyFont="1" applyBorder="1" applyAlignment="1">
      <alignment horizontal="justify" vertical="top" wrapText="1"/>
    </xf>
    <xf numFmtId="15" fontId="1" fillId="0" borderId="16" xfId="0" applyNumberFormat="1" applyFont="1" applyBorder="1" applyAlignment="1">
      <alignment horizontal="justify" vertical="top" wrapText="1"/>
    </xf>
    <xf numFmtId="0" fontId="4" fillId="0" borderId="10" xfId="0" applyFont="1" applyBorder="1" applyAlignment="1">
      <alignment horizontal="left" vertical="center" wrapText="1"/>
    </xf>
    <xf numFmtId="188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17" fillId="3" borderId="8" xfId="6" applyFont="1" applyBorder="1" applyAlignment="1">
      <alignment horizontal="left" vertical="center" wrapText="1"/>
    </xf>
    <xf numFmtId="0" fontId="19" fillId="0" borderId="8" xfId="2" applyFont="1" applyBorder="1" applyAlignment="1">
      <alignment horizontal="left" vertical="center"/>
    </xf>
    <xf numFmtId="0" fontId="18" fillId="0" borderId="8" xfId="0" applyFont="1" applyBorder="1" applyAlignment="1">
      <alignment horizontal="left"/>
    </xf>
    <xf numFmtId="189" fontId="3" fillId="0" borderId="13" xfId="0" applyNumberFormat="1" applyFont="1" applyBorder="1" applyAlignment="1">
      <alignment horizontal="right" vertical="top" wrapText="1"/>
    </xf>
    <xf numFmtId="189" fontId="1" fillId="0" borderId="0" xfId="0" applyNumberFormat="1" applyFont="1">
      <alignment vertical="center"/>
    </xf>
    <xf numFmtId="0" fontId="3" fillId="0" borderId="0" xfId="3" applyFont="1" applyAlignment="1">
      <alignment horizontal="center" vertical="top" wrapText="1"/>
    </xf>
    <xf numFmtId="189" fontId="3" fillId="0" borderId="0" xfId="3" applyNumberFormat="1" applyFont="1" applyAlignment="1">
      <alignment horizontal="center" vertical="top" wrapText="1"/>
    </xf>
    <xf numFmtId="190" fontId="1" fillId="0" borderId="0" xfId="0" applyNumberFormat="1" applyFont="1">
      <alignment vertical="center"/>
    </xf>
    <xf numFmtId="0" fontId="20" fillId="0" borderId="0" xfId="0" applyFont="1">
      <alignment vertical="center"/>
    </xf>
    <xf numFmtId="0" fontId="4" fillId="0" borderId="10" xfId="0" applyFont="1" applyBorder="1" applyAlignment="1">
      <alignment horizontal="left" vertical="top" wrapText="1"/>
    </xf>
    <xf numFmtId="192" fontId="3" fillId="0" borderId="0" xfId="1" applyNumberFormat="1" applyFont="1" applyBorder="1" applyAlignment="1">
      <alignment horizontal="center" vertical="top" wrapText="1"/>
    </xf>
    <xf numFmtId="192" fontId="3" fillId="0" borderId="0" xfId="1" applyNumberFormat="1" applyFont="1" applyAlignment="1">
      <alignment horizontal="center" vertical="top" wrapText="1"/>
    </xf>
    <xf numFmtId="0" fontId="16" fillId="0" borderId="9" xfId="5" quotePrefix="1" applyFont="1" applyBorder="1" applyAlignment="1">
      <alignment horizontal="right" vertical="center"/>
    </xf>
    <xf numFmtId="0" fontId="18" fillId="0" borderId="9" xfId="4" quotePrefix="1" applyFont="1" applyBorder="1" applyAlignment="1">
      <alignment horizontal="right" vertical="center" wrapText="1"/>
    </xf>
    <xf numFmtId="0" fontId="18" fillId="0" borderId="9" xfId="0" quotePrefix="1" applyFont="1" applyBorder="1" applyAlignment="1">
      <alignment horizontal="right"/>
    </xf>
    <xf numFmtId="0" fontId="3" fillId="0" borderId="2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1" fillId="0" borderId="0" xfId="0" applyFont="1" applyAlignment="1">
      <alignment horizontal="justify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12" xfId="0" applyFont="1" applyBorder="1" applyAlignment="1">
      <alignment horizontal="justify" vertical="top" wrapText="1"/>
    </xf>
    <xf numFmtId="0" fontId="1" fillId="0" borderId="1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2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7" xfId="0" applyFont="1" applyBorder="1" applyAlignment="1">
      <alignment horizontal="justify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26" fontId="3" fillId="0" borderId="0" xfId="1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justify"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88" fontId="1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0" fontId="16" fillId="0" borderId="9" xfId="5" applyFont="1" applyBorder="1" applyAlignment="1">
      <alignment horizontal="right" vertical="center" wrapText="1"/>
    </xf>
    <xf numFmtId="0" fontId="16" fillId="0" borderId="8" xfId="5" applyFont="1" applyBorder="1" applyAlignment="1">
      <alignment horizontal="right" vertical="center"/>
    </xf>
    <xf numFmtId="189" fontId="8" fillId="2" borderId="1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189" fontId="8" fillId="2" borderId="0" xfId="0" applyNumberFormat="1" applyFont="1" applyFill="1" applyAlignment="1">
      <alignment horizontal="center" vertical="center"/>
    </xf>
    <xf numFmtId="0" fontId="3" fillId="0" borderId="0" xfId="2" applyFont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84" fontId="3" fillId="0" borderId="13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right" vertical="top"/>
    </xf>
    <xf numFmtId="0" fontId="3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</cellXfs>
  <cellStyles count="7">
    <cellStyle name="Normal 2" xfId="4" xr:uid="{00000000-0005-0000-0000-000033000000}"/>
    <cellStyle name="Normal_Sheet1" xfId="5" xr:uid="{00000000-0005-0000-0000-000034000000}"/>
    <cellStyle name="S1" xfId="6" xr:uid="{00000000-0005-0000-0000-000035000000}"/>
    <cellStyle name="常规 2" xfId="2" xr:uid="{00000000-0005-0000-0000-000031000000}"/>
    <cellStyle name="常规 2 2" xfId="3" xr:uid="{00000000-0005-0000-0000-000032000000}"/>
    <cellStyle name="쉼표" xfId="1" builtinId="3"/>
    <cellStyle name="표준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695325</xdr:colOff>
      <xdr:row>1</xdr:row>
      <xdr:rowOff>66675</xdr:rowOff>
    </xdr:from>
    <xdr:ext cx="1285875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75361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695325</xdr:colOff>
      <xdr:row>1</xdr:row>
      <xdr:rowOff>66675</xdr:rowOff>
    </xdr:from>
    <xdr:ext cx="1285875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5361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44944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44944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695325</xdr:colOff>
      <xdr:row>1</xdr:row>
      <xdr:rowOff>66675</xdr:rowOff>
    </xdr:from>
    <xdr:ext cx="1285875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75361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695325</xdr:colOff>
      <xdr:row>1</xdr:row>
      <xdr:rowOff>66675</xdr:rowOff>
    </xdr:from>
    <xdr:ext cx="1285875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75361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283710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283710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447675</xdr:colOff>
      <xdr:row>1</xdr:row>
      <xdr:rowOff>47625</xdr:rowOff>
    </xdr:from>
    <xdr:ext cx="1295399" cy="419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610860" y="247650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0</xdr:row>
      <xdr:rowOff>133350</xdr:rowOff>
    </xdr:from>
    <xdr:ext cx="1295399" cy="4184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4915535" y="133350"/>
          <a:ext cx="1294765" cy="41846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447675</xdr:colOff>
      <xdr:row>1</xdr:row>
      <xdr:rowOff>47625</xdr:rowOff>
    </xdr:from>
    <xdr:ext cx="1295399" cy="419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610860" y="247650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0</xdr:row>
      <xdr:rowOff>133350</xdr:rowOff>
    </xdr:from>
    <xdr:ext cx="1295399" cy="4184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4915535" y="133350"/>
          <a:ext cx="1294765" cy="41846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147637</xdr:colOff>
      <xdr:row>1</xdr:row>
      <xdr:rowOff>9525</xdr:rowOff>
    </xdr:from>
    <xdr:ext cx="1295399" cy="419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419600" y="209550"/>
          <a:ext cx="1295400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0</xdr:row>
      <xdr:rowOff>133350</xdr:rowOff>
    </xdr:from>
    <xdr:ext cx="1295399" cy="4184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4919980" y="133350"/>
          <a:ext cx="1294765" cy="41846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447675</xdr:colOff>
      <xdr:row>1</xdr:row>
      <xdr:rowOff>47625</xdr:rowOff>
    </xdr:from>
    <xdr:ext cx="1295399" cy="419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5610860" y="247650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0</xdr:row>
      <xdr:rowOff>133350</xdr:rowOff>
    </xdr:from>
    <xdr:ext cx="1295399" cy="4184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915535" y="133350"/>
          <a:ext cx="1294765" cy="41846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447675</xdr:colOff>
      <xdr:row>1</xdr:row>
      <xdr:rowOff>47625</xdr:rowOff>
    </xdr:from>
    <xdr:ext cx="1295399" cy="419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5610860" y="247650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447675</xdr:colOff>
      <xdr:row>1</xdr:row>
      <xdr:rowOff>47625</xdr:rowOff>
    </xdr:from>
    <xdr:ext cx="1295399" cy="4191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5610860" y="247650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447675</xdr:colOff>
      <xdr:row>1</xdr:row>
      <xdr:rowOff>47625</xdr:rowOff>
    </xdr:from>
    <xdr:ext cx="1295399" cy="419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5515610" y="247650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0</xdr:row>
      <xdr:rowOff>133350</xdr:rowOff>
    </xdr:from>
    <xdr:ext cx="1295399" cy="4184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4982210" y="133350"/>
          <a:ext cx="1294765" cy="41846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447675</xdr:colOff>
      <xdr:row>1</xdr:row>
      <xdr:rowOff>47625</xdr:rowOff>
    </xdr:from>
    <xdr:ext cx="1295399" cy="419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4719955" y="247650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0</xdr:row>
      <xdr:rowOff>133350</xdr:rowOff>
    </xdr:from>
    <xdr:ext cx="1295399" cy="4184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5120640" y="133350"/>
          <a:ext cx="1294765" cy="41846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447675</xdr:colOff>
      <xdr:row>1</xdr:row>
      <xdr:rowOff>47625</xdr:rowOff>
    </xdr:from>
    <xdr:ext cx="1295399" cy="419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5610860" y="247650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0</xdr:row>
      <xdr:rowOff>133350</xdr:rowOff>
    </xdr:from>
    <xdr:ext cx="1295399" cy="4184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4919980" y="133350"/>
          <a:ext cx="1294765" cy="41846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447675</xdr:colOff>
      <xdr:row>1</xdr:row>
      <xdr:rowOff>47625</xdr:rowOff>
    </xdr:from>
    <xdr:ext cx="1295399" cy="419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5515610" y="247650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0</xdr:row>
      <xdr:rowOff>133350</xdr:rowOff>
    </xdr:from>
    <xdr:ext cx="1295399" cy="4184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/>
      </xdr:nvSpPr>
      <xdr:spPr>
        <a:xfrm>
          <a:off x="4982210" y="133350"/>
          <a:ext cx="1294765" cy="41846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3"/>
  <sheetViews>
    <sheetView tabSelected="1" topLeftCell="A7" workbookViewId="0">
      <selection activeCell="C12" sqref="C12:F12"/>
    </sheetView>
  </sheetViews>
  <sheetFormatPr defaultColWidth="9" defaultRowHeight="15.6"/>
  <cols>
    <col min="1" max="1" width="19.3984375" customWidth="1"/>
    <col min="2" max="2" width="21.3984375" customWidth="1"/>
    <col min="3" max="3" width="9" customWidth="1"/>
    <col min="4" max="4" width="3.5" customWidth="1"/>
    <col min="5" max="5" width="14.09765625" customWidth="1"/>
    <col min="6" max="6" width="13.59765625" customWidth="1"/>
  </cols>
  <sheetData>
    <row r="2" spans="1:6" ht="15.75" customHeight="1">
      <c r="A2" s="157" t="s">
        <v>0</v>
      </c>
      <c r="B2" s="157"/>
      <c r="C2" s="157"/>
      <c r="D2" s="157"/>
      <c r="E2" s="157"/>
      <c r="F2" s="157"/>
    </row>
    <row r="3" spans="1:6" ht="15.75" customHeight="1">
      <c r="A3" s="157"/>
      <c r="B3" s="157"/>
      <c r="C3" s="157"/>
      <c r="D3" s="157"/>
      <c r="E3" s="157"/>
      <c r="F3" s="157"/>
    </row>
    <row r="4" spans="1:6" ht="15.75" customHeight="1">
      <c r="A4" s="157"/>
      <c r="B4" s="157"/>
      <c r="C4" s="157"/>
      <c r="D4" s="157"/>
      <c r="E4" s="157"/>
      <c r="F4" s="157"/>
    </row>
    <row r="5" spans="1:6" ht="15.75" customHeight="1">
      <c r="A5" s="157"/>
      <c r="B5" s="157"/>
      <c r="C5" s="157"/>
      <c r="D5" s="157"/>
      <c r="E5" s="157"/>
      <c r="F5" s="157"/>
    </row>
    <row r="6" spans="1:6" ht="15.75" customHeight="1">
      <c r="A6" s="157"/>
      <c r="B6" s="157"/>
      <c r="C6" s="157"/>
      <c r="D6" s="157"/>
      <c r="E6" s="157"/>
      <c r="F6" s="157"/>
    </row>
    <row r="7" spans="1:6" ht="2.25" customHeight="1">
      <c r="A7" s="157"/>
      <c r="B7" s="157"/>
      <c r="C7" s="157"/>
      <c r="D7" s="157"/>
      <c r="E7" s="157"/>
      <c r="F7" s="157"/>
    </row>
    <row r="8" spans="1:6" ht="13.5" hidden="1" customHeight="1">
      <c r="A8" s="157"/>
      <c r="B8" s="157"/>
      <c r="C8" s="158"/>
      <c r="D8" s="157"/>
      <c r="E8" s="157"/>
      <c r="F8" s="157"/>
    </row>
    <row r="9" spans="1:6" ht="17.25" hidden="1" customHeight="1">
      <c r="A9" s="157"/>
      <c r="B9" s="157"/>
      <c r="C9" s="157"/>
      <c r="D9" s="157"/>
      <c r="E9" s="157"/>
      <c r="F9" s="157"/>
    </row>
    <row r="10" spans="1:6" ht="13.5" customHeight="1">
      <c r="A10" s="104"/>
    </row>
    <row r="11" spans="1:6" ht="15" customHeight="1">
      <c r="A11" s="131" t="s">
        <v>1</v>
      </c>
      <c r="B11" s="132"/>
      <c r="C11" s="133" t="s">
        <v>2</v>
      </c>
      <c r="D11" s="131"/>
      <c r="E11" s="131"/>
      <c r="F11" s="131"/>
    </row>
    <row r="12" spans="1:6" ht="14.25" customHeight="1">
      <c r="A12" s="134" t="s">
        <v>3</v>
      </c>
      <c r="B12" s="134"/>
      <c r="C12" s="135" t="s">
        <v>4</v>
      </c>
      <c r="D12" s="136"/>
      <c r="E12" s="136"/>
      <c r="F12" s="136"/>
    </row>
    <row r="13" spans="1:6" ht="14.25" customHeight="1">
      <c r="A13" s="134" t="s">
        <v>5</v>
      </c>
      <c r="B13" s="134"/>
      <c r="C13" s="137" t="s">
        <v>6</v>
      </c>
      <c r="D13" s="138"/>
      <c r="E13" s="138"/>
      <c r="F13" s="138"/>
    </row>
    <row r="14" spans="1:6" ht="15" customHeight="1">
      <c r="A14" s="139" t="s">
        <v>7</v>
      </c>
      <c r="B14" s="140"/>
      <c r="C14" s="139" t="s">
        <v>8</v>
      </c>
      <c r="D14" s="134"/>
      <c r="E14" s="134"/>
      <c r="F14" s="134"/>
    </row>
    <row r="15" spans="1:6" ht="15" customHeight="1">
      <c r="A15" s="141"/>
      <c r="B15" s="142"/>
      <c r="C15" s="133" t="s">
        <v>9</v>
      </c>
      <c r="D15" s="131"/>
      <c r="E15" s="143"/>
      <c r="F15" s="143"/>
    </row>
    <row r="16" spans="1:6" ht="14.25" customHeight="1">
      <c r="A16" s="3" t="s">
        <v>10</v>
      </c>
      <c r="B16" s="9"/>
      <c r="C16" s="144" t="s">
        <v>11</v>
      </c>
      <c r="D16" s="145"/>
      <c r="E16" s="145"/>
      <c r="F16" s="145"/>
    </row>
    <row r="17" spans="1:6" ht="14.25" customHeight="1">
      <c r="A17" s="146" t="s">
        <v>12</v>
      </c>
      <c r="B17" s="147"/>
      <c r="C17" s="159" t="s">
        <v>13</v>
      </c>
      <c r="D17" s="160"/>
      <c r="E17" s="160"/>
      <c r="F17" s="160"/>
    </row>
    <row r="18" spans="1:6" ht="14.25" customHeight="1">
      <c r="A18" s="146" t="s">
        <v>14</v>
      </c>
      <c r="B18" s="147"/>
      <c r="C18" s="161"/>
      <c r="D18" s="146"/>
      <c r="E18" s="146"/>
      <c r="F18" s="146"/>
    </row>
    <row r="19" spans="1:6" ht="14.25" customHeight="1">
      <c r="A19" s="134" t="s">
        <v>15</v>
      </c>
      <c r="B19" s="140"/>
      <c r="C19" s="161"/>
      <c r="D19" s="146"/>
      <c r="E19" s="146"/>
      <c r="F19" s="146"/>
    </row>
    <row r="20" spans="1:6" ht="14.25" customHeight="1">
      <c r="A20" s="148"/>
      <c r="B20" s="149"/>
      <c r="C20" s="161"/>
      <c r="D20" s="146"/>
      <c r="E20" s="146"/>
      <c r="F20" s="146"/>
    </row>
    <row r="21" spans="1:6" ht="19.5" customHeight="1">
      <c r="A21" s="131" t="s">
        <v>16</v>
      </c>
      <c r="B21" s="132"/>
      <c r="C21" s="161"/>
      <c r="D21" s="146"/>
      <c r="E21" s="146"/>
      <c r="F21" s="146"/>
    </row>
    <row r="22" spans="1:6" ht="14.25" customHeight="1">
      <c r="A22" s="146" t="s">
        <v>17</v>
      </c>
      <c r="B22" s="147"/>
      <c r="C22" s="161"/>
      <c r="D22" s="146"/>
      <c r="E22" s="146"/>
      <c r="F22" s="146"/>
    </row>
    <row r="23" spans="1:6" ht="14.25" customHeight="1">
      <c r="A23" s="146"/>
      <c r="B23" s="147"/>
      <c r="C23" s="161"/>
      <c r="D23" s="146"/>
      <c r="E23" s="146"/>
      <c r="F23" s="146"/>
    </row>
    <row r="24" spans="1:6" ht="14.25" customHeight="1">
      <c r="A24" s="134"/>
      <c r="B24" s="140"/>
      <c r="C24" s="161"/>
      <c r="D24" s="146"/>
      <c r="E24" s="146"/>
      <c r="F24" s="146"/>
    </row>
    <row r="25" spans="1:6" ht="14.25" customHeight="1">
      <c r="A25" s="9" t="s">
        <v>18</v>
      </c>
      <c r="B25" s="109" t="s">
        <v>19</v>
      </c>
      <c r="C25" s="161"/>
      <c r="D25" s="162"/>
      <c r="E25" s="146"/>
      <c r="F25" s="162"/>
    </row>
    <row r="26" spans="1:6">
      <c r="A26" s="11" t="s">
        <v>20</v>
      </c>
      <c r="B26" s="110" t="s">
        <v>21</v>
      </c>
      <c r="C26" s="161"/>
      <c r="D26" s="146"/>
      <c r="E26" s="146"/>
      <c r="F26" s="146"/>
    </row>
    <row r="27" spans="1:6" ht="14.25" customHeight="1">
      <c r="A27" s="9" t="s">
        <v>22</v>
      </c>
      <c r="B27" s="109" t="s">
        <v>23</v>
      </c>
      <c r="C27" s="161"/>
      <c r="D27" s="146"/>
      <c r="E27" s="146"/>
      <c r="F27" s="146"/>
    </row>
    <row r="28" spans="1:6" ht="13.5" customHeight="1">
      <c r="A28" s="111" t="s">
        <v>24</v>
      </c>
      <c r="B28" s="112" t="s">
        <v>25</v>
      </c>
      <c r="C28" s="161"/>
      <c r="D28" s="146"/>
      <c r="E28" s="146"/>
      <c r="F28" s="146"/>
    </row>
    <row r="29" spans="1:6">
      <c r="A29" s="13" t="s">
        <v>26</v>
      </c>
      <c r="B29" s="125" t="s">
        <v>27</v>
      </c>
      <c r="C29" s="150" t="s">
        <v>28</v>
      </c>
      <c r="D29" s="151"/>
      <c r="E29" s="14" t="s">
        <v>29</v>
      </c>
      <c r="F29" s="17" t="s">
        <v>30</v>
      </c>
    </row>
    <row r="30" spans="1:6" ht="12" customHeight="1">
      <c r="A30" s="6"/>
      <c r="B30" s="28"/>
      <c r="C30" s="28" t="s">
        <v>31</v>
      </c>
      <c r="D30" s="28"/>
      <c r="E30" s="28" t="s">
        <v>32</v>
      </c>
      <c r="F30" s="35" t="s">
        <v>33</v>
      </c>
    </row>
    <row r="31" spans="1:6" ht="12.45" customHeight="1">
      <c r="A31" s="152"/>
      <c r="B31" s="153"/>
      <c r="C31" s="153"/>
      <c r="D31" s="152"/>
      <c r="E31" s="152"/>
      <c r="F31" s="152"/>
    </row>
    <row r="32" spans="1:6" ht="11.25" customHeight="1">
      <c r="A32" s="6" t="s">
        <v>34</v>
      </c>
      <c r="B32" s="21"/>
      <c r="C32" s="21"/>
      <c r="D32" s="153"/>
      <c r="E32" s="153"/>
      <c r="F32" s="153"/>
    </row>
    <row r="33" spans="1:6" ht="15" customHeight="1">
      <c r="A33" s="154" t="s">
        <v>35</v>
      </c>
      <c r="B33" s="154"/>
      <c r="C33" s="21">
        <v>110</v>
      </c>
      <c r="D33" s="155">
        <v>1050</v>
      </c>
      <c r="E33" s="155"/>
      <c r="F33" s="126">
        <f>C33*D33</f>
        <v>115500</v>
      </c>
    </row>
    <row r="34" spans="1:6" ht="15.45" customHeight="1">
      <c r="A34" s="21"/>
      <c r="B34" s="22" t="s">
        <v>36</v>
      </c>
      <c r="C34" s="22"/>
      <c r="D34" s="155"/>
      <c r="E34" s="155"/>
      <c r="F34" s="126"/>
    </row>
    <row r="35" spans="1:6" ht="11.25" customHeight="1">
      <c r="A35" s="21"/>
      <c r="B35" s="115"/>
      <c r="C35" s="8"/>
      <c r="D35" s="21"/>
      <c r="E35" s="8"/>
      <c r="F35" s="8"/>
    </row>
    <row r="36" spans="1:6" ht="11.25" customHeight="1">
      <c r="A36" s="156"/>
      <c r="B36" s="156"/>
      <c r="C36" s="29"/>
      <c r="D36" s="30"/>
      <c r="E36" s="30"/>
      <c r="F36" s="30"/>
    </row>
    <row r="37" spans="1:6" ht="15" customHeight="1">
      <c r="A37" s="21"/>
      <c r="B37" s="28" t="s">
        <v>37</v>
      </c>
      <c r="C37" s="28">
        <f>SUM(C33:C36)</f>
        <v>110</v>
      </c>
      <c r="D37" s="28" t="s">
        <v>31</v>
      </c>
      <c r="E37" s="28"/>
      <c r="F37" s="127">
        <f>SUM(F33:F36)</f>
        <v>115500</v>
      </c>
    </row>
    <row r="38" spans="1:6" s="124" customFormat="1"/>
    <row r="39" spans="1:6" s="124" customFormat="1"/>
    <row r="40" spans="1:6" s="124" customFormat="1"/>
    <row r="43" spans="1:6">
      <c r="E43" s="44" t="s">
        <v>38</v>
      </c>
    </row>
  </sheetData>
  <mergeCells count="28">
    <mergeCell ref="A2:F9"/>
    <mergeCell ref="C17:F28"/>
    <mergeCell ref="D32:F32"/>
    <mergeCell ref="A33:B33"/>
    <mergeCell ref="D33:E33"/>
    <mergeCell ref="D34:E34"/>
    <mergeCell ref="A36:B36"/>
    <mergeCell ref="A22:B22"/>
    <mergeCell ref="A23:B23"/>
    <mergeCell ref="A24:B24"/>
    <mergeCell ref="C29:D29"/>
    <mergeCell ref="A31:F31"/>
    <mergeCell ref="A17:B17"/>
    <mergeCell ref="A18:B18"/>
    <mergeCell ref="A19:B19"/>
    <mergeCell ref="A20:B20"/>
    <mergeCell ref="A21:B21"/>
    <mergeCell ref="A14:B14"/>
    <mergeCell ref="C14:F14"/>
    <mergeCell ref="A15:B15"/>
    <mergeCell ref="C15:F15"/>
    <mergeCell ref="C16:F16"/>
    <mergeCell ref="A11:B11"/>
    <mergeCell ref="C11:F11"/>
    <mergeCell ref="A12:B12"/>
    <mergeCell ref="C12:F12"/>
    <mergeCell ref="A13:B13"/>
    <mergeCell ref="C13:F13"/>
  </mergeCells>
  <phoneticPr fontId="25" type="noConversion"/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46"/>
  <sheetViews>
    <sheetView workbookViewId="0">
      <selection activeCell="G28" sqref="G28"/>
    </sheetView>
  </sheetViews>
  <sheetFormatPr defaultColWidth="9" defaultRowHeight="12"/>
  <cols>
    <col min="1" max="1" width="19.3984375" style="1" customWidth="1"/>
    <col min="2" max="2" width="17.3984375" style="1" customWidth="1"/>
    <col min="3" max="3" width="8.8984375" style="1" customWidth="1"/>
    <col min="4" max="4" width="7.09765625" style="1" customWidth="1"/>
    <col min="5" max="5" width="3.8984375" style="1" customWidth="1"/>
    <col min="6" max="6" width="7.69921875" style="1" customWidth="1"/>
    <col min="7" max="7" width="5.09765625" style="1" customWidth="1"/>
    <col min="8" max="8" width="11.5" style="1" customWidth="1"/>
    <col min="9" max="16384" width="9" style="1"/>
  </cols>
  <sheetData>
    <row r="2" spans="1:8" ht="14.25" customHeight="1">
      <c r="A2" s="157" t="s">
        <v>39</v>
      </c>
      <c r="B2" s="157"/>
      <c r="C2" s="157"/>
      <c r="D2" s="157"/>
      <c r="E2" s="157"/>
      <c r="F2" s="157"/>
      <c r="G2" s="157"/>
      <c r="H2" s="157"/>
    </row>
    <row r="3" spans="1:8" ht="14.25" customHeight="1">
      <c r="A3" s="157"/>
      <c r="B3" s="157"/>
      <c r="C3" s="157"/>
      <c r="D3" s="157"/>
      <c r="E3" s="157"/>
      <c r="F3" s="157"/>
      <c r="G3" s="157"/>
      <c r="H3" s="157"/>
    </row>
    <row r="4" spans="1:8" ht="14.25" customHeight="1">
      <c r="A4" s="157"/>
      <c r="B4" s="157"/>
      <c r="C4" s="157"/>
      <c r="D4" s="157"/>
      <c r="E4" s="157"/>
      <c r="F4" s="157"/>
      <c r="G4" s="157"/>
      <c r="H4" s="157"/>
    </row>
    <row r="5" spans="1:8" ht="12" customHeight="1">
      <c r="A5" s="157"/>
      <c r="B5" s="157"/>
      <c r="C5" s="157"/>
      <c r="D5" s="157"/>
      <c r="E5" s="157"/>
      <c r="F5" s="157"/>
      <c r="G5" s="157"/>
      <c r="H5" s="157"/>
    </row>
    <row r="6" spans="1:8">
      <c r="A6" s="172"/>
      <c r="B6" s="172"/>
      <c r="C6" s="172"/>
      <c r="D6" s="172"/>
      <c r="E6" s="172"/>
      <c r="F6" s="172"/>
      <c r="G6" s="172"/>
      <c r="H6" s="172"/>
    </row>
    <row r="7" spans="1:8" customFormat="1" ht="15" customHeight="1">
      <c r="A7" s="131" t="s">
        <v>1</v>
      </c>
      <c r="B7" s="132"/>
      <c r="C7" s="133" t="s">
        <v>2</v>
      </c>
      <c r="D7" s="131"/>
      <c r="E7" s="131"/>
      <c r="F7" s="131"/>
      <c r="G7" s="131"/>
      <c r="H7" s="131"/>
    </row>
    <row r="8" spans="1:8" customFormat="1" ht="13.5" customHeight="1">
      <c r="A8" s="134" t="s">
        <v>3</v>
      </c>
      <c r="B8" s="134"/>
      <c r="C8" s="139" t="s">
        <v>4</v>
      </c>
      <c r="D8" s="134"/>
      <c r="E8" s="134"/>
      <c r="F8" s="134"/>
      <c r="G8" s="134"/>
      <c r="H8" s="134"/>
    </row>
    <row r="9" spans="1:8" customFormat="1" ht="15" customHeight="1">
      <c r="A9" s="134" t="s">
        <v>40</v>
      </c>
      <c r="B9" s="134"/>
      <c r="C9" s="139"/>
      <c r="D9" s="134"/>
      <c r="E9" s="134"/>
      <c r="F9" s="134"/>
      <c r="G9" s="134"/>
      <c r="H9" s="134"/>
    </row>
    <row r="10" spans="1:8" customFormat="1" ht="15" customHeight="1">
      <c r="A10" s="139" t="s">
        <v>41</v>
      </c>
      <c r="B10" s="140"/>
      <c r="C10" s="134"/>
      <c r="D10" s="134"/>
      <c r="E10" s="134"/>
      <c r="F10" s="134"/>
      <c r="G10" s="134"/>
      <c r="H10" s="134"/>
    </row>
    <row r="11" spans="1:8" customFormat="1" ht="15" customHeight="1">
      <c r="A11" s="141"/>
      <c r="B11" s="142"/>
      <c r="C11" s="163"/>
      <c r="D11" s="148"/>
      <c r="E11" s="148"/>
      <c r="F11" s="148"/>
      <c r="G11" s="148"/>
      <c r="H11" s="148"/>
    </row>
    <row r="12" spans="1:8" customFormat="1" ht="14.25" customHeight="1">
      <c r="A12" s="3" t="s">
        <v>10</v>
      </c>
      <c r="B12" s="9"/>
      <c r="C12" s="173"/>
      <c r="D12" s="131"/>
      <c r="E12" s="131"/>
      <c r="F12" s="131"/>
      <c r="G12" s="131"/>
      <c r="H12" s="131"/>
    </row>
    <row r="13" spans="1:8" customFormat="1" ht="14.25" customHeight="1">
      <c r="A13" s="146" t="s">
        <v>12</v>
      </c>
      <c r="B13" s="147"/>
      <c r="C13" s="174"/>
      <c r="D13" s="152"/>
      <c r="E13" s="152"/>
      <c r="F13" s="152"/>
      <c r="G13" s="152"/>
      <c r="H13" s="152"/>
    </row>
    <row r="14" spans="1:8" customFormat="1" ht="14.25" customHeight="1">
      <c r="A14" s="146" t="s">
        <v>14</v>
      </c>
      <c r="B14" s="147"/>
      <c r="C14" s="174"/>
      <c r="D14" s="152"/>
      <c r="E14" s="152"/>
      <c r="F14" s="152"/>
      <c r="G14" s="152"/>
      <c r="H14" s="152"/>
    </row>
    <row r="15" spans="1:8" customFormat="1" ht="14.25" customHeight="1">
      <c r="A15" s="134" t="s">
        <v>15</v>
      </c>
      <c r="B15" s="140"/>
      <c r="C15" s="174"/>
      <c r="D15" s="152"/>
      <c r="E15" s="152"/>
      <c r="F15" s="152"/>
      <c r="G15" s="152"/>
      <c r="H15" s="152"/>
    </row>
    <row r="16" spans="1:8" customFormat="1" ht="16.5" customHeight="1">
      <c r="A16" s="148"/>
      <c r="B16" s="149"/>
      <c r="C16" s="139"/>
      <c r="D16" s="152"/>
      <c r="E16" s="152"/>
      <c r="F16" s="152"/>
      <c r="G16" s="152"/>
      <c r="H16" s="152"/>
    </row>
    <row r="17" spans="1:8" customFormat="1" ht="14.25" customHeight="1">
      <c r="A17" s="131" t="s">
        <v>16</v>
      </c>
      <c r="B17" s="132"/>
      <c r="C17" s="139"/>
      <c r="D17" s="152"/>
      <c r="E17" s="152"/>
      <c r="F17" s="152"/>
      <c r="G17" s="152"/>
      <c r="H17" s="152"/>
    </row>
    <row r="18" spans="1:8" customFormat="1" ht="14.25" customHeight="1">
      <c r="A18" s="146" t="s">
        <v>17</v>
      </c>
      <c r="B18" s="147"/>
      <c r="C18" s="174"/>
      <c r="D18" s="152"/>
      <c r="E18" s="152"/>
      <c r="F18" s="152"/>
      <c r="G18" s="152"/>
      <c r="H18" s="152"/>
    </row>
    <row r="19" spans="1:8" customFormat="1" ht="14.25" customHeight="1">
      <c r="A19" s="146"/>
      <c r="B19" s="147"/>
      <c r="C19" s="174"/>
      <c r="D19" s="152"/>
      <c r="E19" s="152"/>
      <c r="F19" s="152"/>
      <c r="G19" s="152"/>
      <c r="H19" s="152"/>
    </row>
    <row r="20" spans="1:8" customFormat="1" ht="14.25" customHeight="1">
      <c r="A20" s="134"/>
      <c r="B20" s="140"/>
      <c r="C20" s="174"/>
      <c r="D20" s="152"/>
      <c r="E20" s="152"/>
      <c r="F20" s="152"/>
      <c r="G20" s="152"/>
      <c r="H20" s="152"/>
    </row>
    <row r="21" spans="1:8" customFormat="1" ht="12" customHeight="1">
      <c r="A21" s="9" t="s">
        <v>18</v>
      </c>
      <c r="B21" s="109" t="s">
        <v>19</v>
      </c>
      <c r="C21" s="174"/>
      <c r="D21" s="152"/>
      <c r="E21" s="152"/>
      <c r="F21" s="152"/>
      <c r="G21" s="152"/>
      <c r="H21" s="152"/>
    </row>
    <row r="22" spans="1:8" customFormat="1" ht="14.7" customHeight="1">
      <c r="A22" s="11" t="s">
        <v>20</v>
      </c>
      <c r="B22" s="110" t="s">
        <v>21</v>
      </c>
      <c r="C22" s="174"/>
      <c r="D22" s="152"/>
      <c r="E22" s="152"/>
      <c r="F22" s="152"/>
      <c r="G22" s="152"/>
      <c r="H22" s="152"/>
    </row>
    <row r="23" spans="1:8" customFormat="1" ht="12" customHeight="1">
      <c r="A23" s="9" t="s">
        <v>22</v>
      </c>
      <c r="B23" s="109" t="s">
        <v>23</v>
      </c>
      <c r="C23" s="174"/>
      <c r="D23" s="152"/>
      <c r="E23" s="152"/>
      <c r="F23" s="152"/>
      <c r="G23" s="152"/>
      <c r="H23" s="152"/>
    </row>
    <row r="24" spans="1:8" customFormat="1" ht="16.5" customHeight="1">
      <c r="A24" s="111" t="s">
        <v>24</v>
      </c>
      <c r="B24" s="112" t="s">
        <v>25</v>
      </c>
      <c r="C24" s="174"/>
      <c r="D24" s="152"/>
      <c r="E24" s="152"/>
      <c r="F24" s="152"/>
      <c r="G24" s="152"/>
      <c r="H24" s="152"/>
    </row>
    <row r="25" spans="1:8" customFormat="1" ht="20.25" customHeight="1">
      <c r="A25" s="13" t="s">
        <v>26</v>
      </c>
      <c r="B25" s="125" t="s">
        <v>27</v>
      </c>
      <c r="C25" s="47" t="s">
        <v>42</v>
      </c>
      <c r="D25" s="164" t="s">
        <v>43</v>
      </c>
      <c r="E25" s="165"/>
      <c r="F25" s="164" t="s">
        <v>44</v>
      </c>
      <c r="G25" s="165"/>
      <c r="H25" s="50" t="s">
        <v>45</v>
      </c>
    </row>
    <row r="26" spans="1:8">
      <c r="A26" s="152"/>
      <c r="B26" s="152"/>
      <c r="C26" s="152"/>
      <c r="D26" s="152"/>
      <c r="E26" s="152"/>
      <c r="F26" s="152"/>
      <c r="G26" s="152"/>
      <c r="H26" s="152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 ht="23.7" customHeight="1">
      <c r="A28" s="154" t="s">
        <v>35</v>
      </c>
      <c r="B28" s="154"/>
      <c r="C28" s="68"/>
      <c r="D28" s="166"/>
      <c r="E28" s="166"/>
      <c r="F28" s="69"/>
      <c r="G28" s="69"/>
      <c r="H28" s="114"/>
    </row>
    <row r="29" spans="1:8" ht="12" customHeight="1">
      <c r="A29" s="21" t="s">
        <v>34</v>
      </c>
      <c r="B29" s="115" t="s">
        <v>46</v>
      </c>
      <c r="C29" s="26"/>
      <c r="D29" s="158"/>
      <c r="E29" s="158"/>
      <c r="F29" s="24"/>
      <c r="G29" s="24"/>
      <c r="H29" s="25"/>
    </row>
    <row r="30" spans="1:8">
      <c r="A30" s="27"/>
      <c r="B30" s="22"/>
      <c r="C30" s="28"/>
      <c r="D30" s="21"/>
      <c r="E30" s="21"/>
      <c r="F30" s="21"/>
      <c r="G30" s="21"/>
      <c r="H30" s="21"/>
    </row>
    <row r="31" spans="1:8" s="22" customFormat="1" ht="12.45" customHeight="1">
      <c r="A31" s="27"/>
      <c r="B31" s="167" t="s">
        <v>47</v>
      </c>
      <c r="C31" s="167"/>
      <c r="D31" s="168" t="s">
        <v>48</v>
      </c>
      <c r="E31" s="168"/>
      <c r="F31" s="168" t="s">
        <v>49</v>
      </c>
      <c r="G31" s="168"/>
      <c r="H31" s="21"/>
    </row>
    <row r="32" spans="1:8" s="22" customFormat="1" ht="12" customHeight="1">
      <c r="A32" s="21"/>
      <c r="B32" s="169" t="s">
        <v>50</v>
      </c>
      <c r="C32" s="170"/>
      <c r="D32" s="171">
        <v>22000</v>
      </c>
      <c r="E32" s="171"/>
      <c r="F32" s="171">
        <f>D32</f>
        <v>22000</v>
      </c>
      <c r="G32" s="171"/>
      <c r="H32" s="27"/>
    </row>
    <row r="33" spans="1:8" s="22" customFormat="1" ht="12" customHeight="1">
      <c r="A33" s="21"/>
      <c r="B33" s="169" t="s">
        <v>51</v>
      </c>
      <c r="C33" s="170"/>
      <c r="D33" s="171">
        <v>22000</v>
      </c>
      <c r="E33" s="171"/>
      <c r="F33" s="171">
        <f>D33</f>
        <v>22000</v>
      </c>
      <c r="G33" s="171"/>
      <c r="H33" s="27"/>
    </row>
    <row r="34" spans="1:8">
      <c r="A34" s="28"/>
      <c r="B34" s="169" t="s">
        <v>52</v>
      </c>
      <c r="C34" s="170"/>
      <c r="D34" s="171">
        <v>22000</v>
      </c>
      <c r="E34" s="171"/>
      <c r="F34" s="171">
        <f>D34</f>
        <v>22000</v>
      </c>
      <c r="G34" s="171"/>
      <c r="H34" s="27"/>
    </row>
    <row r="35" spans="1:8">
      <c r="A35" s="28"/>
      <c r="B35" s="169" t="s">
        <v>53</v>
      </c>
      <c r="C35" s="170"/>
      <c r="D35" s="171">
        <v>22000</v>
      </c>
      <c r="E35" s="171"/>
      <c r="F35" s="171">
        <f>D35</f>
        <v>22000</v>
      </c>
      <c r="G35" s="171"/>
      <c r="H35" s="27"/>
    </row>
    <row r="36" spans="1:8">
      <c r="A36" s="28"/>
      <c r="B36" s="169" t="s">
        <v>54</v>
      </c>
      <c r="C36" s="170"/>
      <c r="D36" s="171">
        <v>22000</v>
      </c>
      <c r="E36" s="171"/>
      <c r="F36" s="171">
        <f>D36</f>
        <v>22000</v>
      </c>
      <c r="G36" s="171"/>
      <c r="H36" s="27"/>
    </row>
    <row r="37" spans="1:8">
      <c r="A37" s="156"/>
      <c r="B37" s="156"/>
      <c r="C37" s="29"/>
      <c r="D37" s="30"/>
      <c r="E37" s="30"/>
      <c r="F37" s="30"/>
      <c r="G37" s="21"/>
      <c r="H37" s="27"/>
    </row>
    <row r="38" spans="1:8" s="108" customFormat="1">
      <c r="A38" s="27"/>
      <c r="B38" s="27" t="s">
        <v>37</v>
      </c>
      <c r="C38" s="27" t="s">
        <v>55</v>
      </c>
      <c r="D38" s="107">
        <f>SUM(D32:D37)</f>
        <v>110000</v>
      </c>
      <c r="E38" s="107" t="s">
        <v>56</v>
      </c>
      <c r="F38" s="107">
        <f>SUM(F32:F37)</f>
        <v>110000</v>
      </c>
      <c r="G38" s="119" t="s">
        <v>56</v>
      </c>
      <c r="H38" s="78" t="s">
        <v>57</v>
      </c>
    </row>
    <row r="39" spans="1:8" ht="21.75" customHeight="1">
      <c r="D39" s="120"/>
      <c r="E39" s="120"/>
      <c r="F39" s="120"/>
      <c r="G39" s="120"/>
    </row>
    <row r="40" spans="1:8">
      <c r="C40" s="121"/>
      <c r="D40" s="122"/>
      <c r="E40" s="122"/>
      <c r="F40" s="122"/>
      <c r="G40" s="122"/>
    </row>
    <row r="42" spans="1:8">
      <c r="D42" s="32" t="s">
        <v>58</v>
      </c>
      <c r="E42" s="32"/>
      <c r="F42" s="32"/>
      <c r="G42" s="32"/>
      <c r="H42" s="120"/>
    </row>
    <row r="45" spans="1:8" ht="13.2">
      <c r="B45" s="43"/>
    </row>
    <row r="46" spans="1:8">
      <c r="F46" s="123"/>
    </row>
  </sheetData>
  <mergeCells count="45">
    <mergeCell ref="B36:C36"/>
    <mergeCell ref="D36:E36"/>
    <mergeCell ref="F36:G36"/>
    <mergeCell ref="A37:B37"/>
    <mergeCell ref="A2:H6"/>
    <mergeCell ref="C12:H24"/>
    <mergeCell ref="B34:C34"/>
    <mergeCell ref="D34:E34"/>
    <mergeCell ref="F34:G34"/>
    <mergeCell ref="B35:C35"/>
    <mergeCell ref="D35:E35"/>
    <mergeCell ref="F35:G35"/>
    <mergeCell ref="F31:G31"/>
    <mergeCell ref="B32:C32"/>
    <mergeCell ref="D32:E32"/>
    <mergeCell ref="F32:G32"/>
    <mergeCell ref="B33:C33"/>
    <mergeCell ref="D33:E33"/>
    <mergeCell ref="F33:G33"/>
    <mergeCell ref="A28:B28"/>
    <mergeCell ref="D28:E28"/>
    <mergeCell ref="D29:E29"/>
    <mergeCell ref="B31:C31"/>
    <mergeCell ref="D31:E31"/>
    <mergeCell ref="A19:B19"/>
    <mergeCell ref="A20:B20"/>
    <mergeCell ref="D25:E25"/>
    <mergeCell ref="F25:G25"/>
    <mergeCell ref="A26:H26"/>
    <mergeCell ref="A14:B14"/>
    <mergeCell ref="A15:B15"/>
    <mergeCell ref="A16:B16"/>
    <mergeCell ref="A17:B17"/>
    <mergeCell ref="A18:B18"/>
    <mergeCell ref="A10:B10"/>
    <mergeCell ref="C10:H10"/>
    <mergeCell ref="A11:B11"/>
    <mergeCell ref="C11:H11"/>
    <mergeCell ref="A13:B13"/>
    <mergeCell ref="A7:B7"/>
    <mergeCell ref="C7:H7"/>
    <mergeCell ref="A8:B8"/>
    <mergeCell ref="C8:H8"/>
    <mergeCell ref="A9:B9"/>
    <mergeCell ref="C9:H9"/>
  </mergeCells>
  <phoneticPr fontId="25" type="noConversion"/>
  <conditionalFormatting sqref="B32:B36">
    <cfRule type="duplicateValues" dxfId="3" priority="1"/>
    <cfRule type="duplicateValues" dxfId="2" priority="2"/>
  </conditionalFormatting>
  <pageMargins left="0.75" right="0.75" top="1" bottom="1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3"/>
  <sheetViews>
    <sheetView topLeftCell="A7" workbookViewId="0">
      <selection activeCell="A33" sqref="A33:B33"/>
    </sheetView>
  </sheetViews>
  <sheetFormatPr defaultColWidth="9" defaultRowHeight="15.6"/>
  <cols>
    <col min="1" max="1" width="19.3984375" customWidth="1"/>
    <col min="2" max="2" width="21.3984375" customWidth="1"/>
    <col min="3" max="3" width="9" customWidth="1"/>
    <col min="4" max="4" width="3.5" customWidth="1"/>
    <col min="5" max="5" width="14.09765625" customWidth="1"/>
    <col min="6" max="6" width="13.59765625" customWidth="1"/>
  </cols>
  <sheetData>
    <row r="2" spans="1:6" ht="15.75" customHeight="1">
      <c r="A2" s="157" t="s">
        <v>0</v>
      </c>
      <c r="B2" s="157"/>
      <c r="C2" s="157"/>
      <c r="D2" s="157"/>
      <c r="E2" s="157"/>
      <c r="F2" s="157"/>
    </row>
    <row r="3" spans="1:6" ht="15.75" customHeight="1">
      <c r="A3" s="157"/>
      <c r="B3" s="157"/>
      <c r="C3" s="157"/>
      <c r="D3" s="157"/>
      <c r="E3" s="157"/>
      <c r="F3" s="157"/>
    </row>
    <row r="4" spans="1:6" ht="15.75" customHeight="1">
      <c r="A4" s="157"/>
      <c r="B4" s="157"/>
      <c r="C4" s="157"/>
      <c r="D4" s="157"/>
      <c r="E4" s="157"/>
      <c r="F4" s="157"/>
    </row>
    <row r="5" spans="1:6" ht="15.75" customHeight="1">
      <c r="A5" s="157"/>
      <c r="B5" s="157"/>
      <c r="C5" s="157"/>
      <c r="D5" s="157"/>
      <c r="E5" s="157"/>
      <c r="F5" s="157"/>
    </row>
    <row r="6" spans="1:6" ht="15.75" customHeight="1">
      <c r="A6" s="157"/>
      <c r="B6" s="157"/>
      <c r="C6" s="157"/>
      <c r="D6" s="157"/>
      <c r="E6" s="157"/>
      <c r="F6" s="157"/>
    </row>
    <row r="7" spans="1:6" ht="2.25" customHeight="1">
      <c r="A7" s="157"/>
      <c r="B7" s="157"/>
      <c r="C7" s="157"/>
      <c r="D7" s="157"/>
      <c r="E7" s="157"/>
      <c r="F7" s="157"/>
    </row>
    <row r="8" spans="1:6" ht="13.5" hidden="1" customHeight="1">
      <c r="A8" s="157"/>
      <c r="B8" s="157"/>
      <c r="C8" s="158"/>
      <c r="D8" s="157"/>
      <c r="E8" s="157"/>
      <c r="F8" s="157"/>
    </row>
    <row r="9" spans="1:6" ht="17.25" hidden="1" customHeight="1">
      <c r="A9" s="157"/>
      <c r="B9" s="157"/>
      <c r="C9" s="157"/>
      <c r="D9" s="157"/>
      <c r="E9" s="157"/>
      <c r="F9" s="157"/>
    </row>
    <row r="10" spans="1:6" ht="13.5" customHeight="1">
      <c r="A10" s="104"/>
    </row>
    <row r="11" spans="1:6" ht="15" customHeight="1">
      <c r="A11" s="131" t="s">
        <v>1</v>
      </c>
      <c r="B11" s="132"/>
      <c r="C11" s="133" t="s">
        <v>2</v>
      </c>
      <c r="D11" s="131"/>
      <c r="E11" s="131"/>
      <c r="F11" s="131"/>
    </row>
    <row r="12" spans="1:6" ht="14.25" customHeight="1">
      <c r="A12" s="134" t="s">
        <v>3</v>
      </c>
      <c r="B12" s="134"/>
      <c r="C12" s="135" t="s">
        <v>59</v>
      </c>
      <c r="D12" s="136"/>
      <c r="E12" s="136"/>
      <c r="F12" s="136"/>
    </row>
    <row r="13" spans="1:6" ht="14.25" customHeight="1">
      <c r="A13" s="134" t="s">
        <v>5</v>
      </c>
      <c r="B13" s="134"/>
      <c r="C13" s="137" t="s">
        <v>6</v>
      </c>
      <c r="D13" s="138"/>
      <c r="E13" s="138"/>
      <c r="F13" s="138"/>
    </row>
    <row r="14" spans="1:6" ht="15" customHeight="1">
      <c r="A14" s="134" t="s">
        <v>7</v>
      </c>
      <c r="B14" s="140"/>
      <c r="C14" s="139" t="s">
        <v>8</v>
      </c>
      <c r="D14" s="134"/>
      <c r="E14" s="134"/>
      <c r="F14" s="134"/>
    </row>
    <row r="15" spans="1:6" ht="15" customHeight="1">
      <c r="A15" s="141"/>
      <c r="B15" s="142"/>
      <c r="C15" s="133" t="s">
        <v>9</v>
      </c>
      <c r="D15" s="131"/>
      <c r="E15" s="143"/>
      <c r="F15" s="143"/>
    </row>
    <row r="16" spans="1:6" ht="14.25" customHeight="1">
      <c r="A16" s="3" t="s">
        <v>10</v>
      </c>
      <c r="B16" s="9"/>
      <c r="C16" s="144" t="s">
        <v>60</v>
      </c>
      <c r="D16" s="145"/>
      <c r="E16" s="145"/>
      <c r="F16" s="145"/>
    </row>
    <row r="17" spans="1:6" ht="14.25" customHeight="1">
      <c r="A17" s="146" t="s">
        <v>12</v>
      </c>
      <c r="B17" s="147"/>
      <c r="C17" s="159" t="s">
        <v>13</v>
      </c>
      <c r="D17" s="160"/>
      <c r="E17" s="160"/>
      <c r="F17" s="160"/>
    </row>
    <row r="18" spans="1:6" ht="14.25" customHeight="1">
      <c r="A18" s="146" t="s">
        <v>14</v>
      </c>
      <c r="B18" s="147"/>
      <c r="C18" s="161"/>
      <c r="D18" s="146"/>
      <c r="E18" s="146"/>
      <c r="F18" s="146"/>
    </row>
    <row r="19" spans="1:6" ht="14.25" customHeight="1">
      <c r="A19" s="134" t="s">
        <v>15</v>
      </c>
      <c r="B19" s="140"/>
      <c r="C19" s="161"/>
      <c r="D19" s="146"/>
      <c r="E19" s="146"/>
      <c r="F19" s="146"/>
    </row>
    <row r="20" spans="1:6" ht="14.25" customHeight="1">
      <c r="A20" s="148"/>
      <c r="B20" s="149"/>
      <c r="C20" s="161"/>
      <c r="D20" s="146"/>
      <c r="E20" s="146"/>
      <c r="F20" s="146"/>
    </row>
    <row r="21" spans="1:6" ht="19.5" customHeight="1">
      <c r="A21" s="131" t="s">
        <v>16</v>
      </c>
      <c r="B21" s="132"/>
      <c r="C21" s="161"/>
      <c r="D21" s="146"/>
      <c r="E21" s="146"/>
      <c r="F21" s="146"/>
    </row>
    <row r="22" spans="1:6" ht="14.25" customHeight="1">
      <c r="A22" s="146" t="s">
        <v>17</v>
      </c>
      <c r="B22" s="147"/>
      <c r="C22" s="161"/>
      <c r="D22" s="146"/>
      <c r="E22" s="146"/>
      <c r="F22" s="146"/>
    </row>
    <row r="23" spans="1:6" ht="14.25" customHeight="1">
      <c r="A23" s="146"/>
      <c r="B23" s="147"/>
      <c r="C23" s="161"/>
      <c r="D23" s="146"/>
      <c r="E23" s="146"/>
      <c r="F23" s="146"/>
    </row>
    <row r="24" spans="1:6" ht="14.25" customHeight="1">
      <c r="A24" s="134"/>
      <c r="B24" s="140"/>
      <c r="C24" s="161"/>
      <c r="D24" s="146"/>
      <c r="E24" s="146"/>
      <c r="F24" s="146"/>
    </row>
    <row r="25" spans="1:6" ht="14.25" customHeight="1">
      <c r="A25" s="9" t="s">
        <v>18</v>
      </c>
      <c r="B25" s="109" t="s">
        <v>19</v>
      </c>
      <c r="C25" s="161"/>
      <c r="D25" s="162"/>
      <c r="E25" s="146"/>
      <c r="F25" s="162"/>
    </row>
    <row r="26" spans="1:6">
      <c r="A26" s="11" t="s">
        <v>20</v>
      </c>
      <c r="B26" s="110" t="s">
        <v>21</v>
      </c>
      <c r="C26" s="161"/>
      <c r="D26" s="146"/>
      <c r="E26" s="146"/>
      <c r="F26" s="146"/>
    </row>
    <row r="27" spans="1:6" ht="14.25" customHeight="1">
      <c r="A27" s="9" t="s">
        <v>22</v>
      </c>
      <c r="B27" s="109" t="s">
        <v>23</v>
      </c>
      <c r="C27" s="161"/>
      <c r="D27" s="146"/>
      <c r="E27" s="146"/>
      <c r="F27" s="146"/>
    </row>
    <row r="28" spans="1:6" ht="13.5" customHeight="1">
      <c r="A28" s="111" t="s">
        <v>61</v>
      </c>
      <c r="B28" s="112" t="s">
        <v>62</v>
      </c>
      <c r="C28" s="161"/>
      <c r="D28" s="146"/>
      <c r="E28" s="146"/>
      <c r="F28" s="146"/>
    </row>
    <row r="29" spans="1:6">
      <c r="A29" s="13" t="s">
        <v>26</v>
      </c>
      <c r="B29" s="125" t="s">
        <v>27</v>
      </c>
      <c r="C29" s="150" t="s">
        <v>28</v>
      </c>
      <c r="D29" s="151"/>
      <c r="E29" s="14" t="s">
        <v>29</v>
      </c>
      <c r="F29" s="17" t="s">
        <v>30</v>
      </c>
    </row>
    <row r="30" spans="1:6" ht="12" customHeight="1">
      <c r="A30" s="6"/>
      <c r="B30" s="28"/>
      <c r="C30" s="28" t="s">
        <v>31</v>
      </c>
      <c r="D30" s="28"/>
      <c r="E30" s="28" t="s">
        <v>32</v>
      </c>
      <c r="F30" s="35" t="s">
        <v>33</v>
      </c>
    </row>
    <row r="31" spans="1:6" ht="12.45" customHeight="1">
      <c r="A31" s="152"/>
      <c r="B31" s="153"/>
      <c r="C31" s="153"/>
      <c r="D31" s="152"/>
      <c r="E31" s="152"/>
      <c r="F31" s="152"/>
    </row>
    <row r="32" spans="1:6" ht="11.25" customHeight="1">
      <c r="A32" s="6" t="s">
        <v>34</v>
      </c>
      <c r="B32" s="21"/>
      <c r="C32" s="21"/>
      <c r="D32" s="153"/>
      <c r="E32" s="153"/>
      <c r="F32" s="153"/>
    </row>
    <row r="33" spans="1:6" ht="15" customHeight="1">
      <c r="A33" s="154" t="s">
        <v>35</v>
      </c>
      <c r="B33" s="154"/>
      <c r="C33" s="21">
        <v>131.94</v>
      </c>
      <c r="D33" s="155">
        <v>925</v>
      </c>
      <c r="E33" s="155"/>
      <c r="F33" s="126">
        <f>C33*D33</f>
        <v>122044.5</v>
      </c>
    </row>
    <row r="34" spans="1:6" ht="15.45" customHeight="1">
      <c r="A34" s="21"/>
      <c r="B34" s="22" t="s">
        <v>36</v>
      </c>
      <c r="C34" s="22"/>
      <c r="D34" s="155"/>
      <c r="E34" s="155"/>
      <c r="F34" s="126"/>
    </row>
    <row r="35" spans="1:6" ht="11.25" customHeight="1">
      <c r="A35" s="21"/>
      <c r="B35" s="115"/>
      <c r="C35" s="8"/>
      <c r="D35" s="21"/>
      <c r="E35" s="8"/>
      <c r="F35" s="8"/>
    </row>
    <row r="36" spans="1:6" ht="11.25" customHeight="1">
      <c r="A36" s="156"/>
      <c r="B36" s="156"/>
      <c r="C36" s="29"/>
      <c r="D36" s="30"/>
      <c r="E36" s="30"/>
      <c r="F36" s="30"/>
    </row>
    <row r="37" spans="1:6" ht="15" customHeight="1">
      <c r="A37" s="21"/>
      <c r="B37" s="28" t="s">
        <v>37</v>
      </c>
      <c r="C37" s="28">
        <f>SUM(C33:C36)</f>
        <v>131.94</v>
      </c>
      <c r="D37" s="28" t="s">
        <v>31</v>
      </c>
      <c r="E37" s="28"/>
      <c r="F37" s="127">
        <f>SUM(F33:F36)</f>
        <v>122044.5</v>
      </c>
    </row>
    <row r="38" spans="1:6" s="124" customFormat="1" ht="12" customHeight="1"/>
    <row r="39" spans="1:6" s="124" customFormat="1"/>
    <row r="40" spans="1:6" s="124" customFormat="1"/>
    <row r="43" spans="1:6">
      <c r="E43" s="44" t="s">
        <v>38</v>
      </c>
    </row>
  </sheetData>
  <mergeCells count="28">
    <mergeCell ref="A2:F9"/>
    <mergeCell ref="C17:F28"/>
    <mergeCell ref="D32:F32"/>
    <mergeCell ref="A33:B33"/>
    <mergeCell ref="D33:E33"/>
    <mergeCell ref="D34:E34"/>
    <mergeCell ref="A36:B36"/>
    <mergeCell ref="A22:B22"/>
    <mergeCell ref="A23:B23"/>
    <mergeCell ref="A24:B24"/>
    <mergeCell ref="C29:D29"/>
    <mergeCell ref="A31:F31"/>
    <mergeCell ref="A17:B17"/>
    <mergeCell ref="A18:B18"/>
    <mergeCell ref="A19:B19"/>
    <mergeCell ref="A20:B20"/>
    <mergeCell ref="A21:B21"/>
    <mergeCell ref="A14:B14"/>
    <mergeCell ref="C14:F14"/>
    <mergeCell ref="A15:B15"/>
    <mergeCell ref="C15:F15"/>
    <mergeCell ref="C16:F16"/>
    <mergeCell ref="A11:B11"/>
    <mergeCell ref="C11:F11"/>
    <mergeCell ref="A12:B12"/>
    <mergeCell ref="C12:F12"/>
    <mergeCell ref="A13:B13"/>
    <mergeCell ref="C13:F13"/>
  </mergeCells>
  <phoneticPr fontId="25" type="noConversion"/>
  <pageMargins left="0.75" right="0.75" top="1" bottom="1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47"/>
  <sheetViews>
    <sheetView topLeftCell="A13" workbookViewId="0">
      <selection activeCell="C25" sqref="C25:H25"/>
    </sheetView>
  </sheetViews>
  <sheetFormatPr defaultColWidth="9" defaultRowHeight="12"/>
  <cols>
    <col min="1" max="1" width="19.3984375" style="1" customWidth="1"/>
    <col min="2" max="2" width="16.59765625" style="1" customWidth="1"/>
    <col min="3" max="3" width="7.796875" style="1" customWidth="1"/>
    <col min="4" max="4" width="7.09765625" style="1" customWidth="1"/>
    <col min="5" max="5" width="3.59765625" style="1" customWidth="1"/>
    <col min="6" max="6" width="7.69921875" style="1" customWidth="1"/>
    <col min="7" max="7" width="3.796875" style="1" customWidth="1"/>
    <col min="8" max="8" width="10.796875" style="1" customWidth="1"/>
    <col min="9" max="16384" width="9" style="1"/>
  </cols>
  <sheetData>
    <row r="2" spans="1:8" ht="14.25" customHeight="1">
      <c r="A2" s="157" t="s">
        <v>39</v>
      </c>
      <c r="B2" s="157"/>
      <c r="C2" s="157"/>
      <c r="D2" s="157"/>
      <c r="E2" s="157"/>
      <c r="F2" s="157"/>
      <c r="G2" s="157"/>
      <c r="H2" s="157"/>
    </row>
    <row r="3" spans="1:8" ht="14.25" customHeight="1">
      <c r="A3" s="157"/>
      <c r="B3" s="157"/>
      <c r="C3" s="157"/>
      <c r="D3" s="157"/>
      <c r="E3" s="157"/>
      <c r="F3" s="157"/>
      <c r="G3" s="157"/>
      <c r="H3" s="157"/>
    </row>
    <row r="4" spans="1:8" ht="14.25" customHeight="1">
      <c r="A4" s="157"/>
      <c r="B4" s="157"/>
      <c r="C4" s="157"/>
      <c r="D4" s="157"/>
      <c r="E4" s="157"/>
      <c r="F4" s="157"/>
      <c r="G4" s="157"/>
      <c r="H4" s="157"/>
    </row>
    <row r="5" spans="1:8" ht="12" customHeight="1">
      <c r="A5" s="157"/>
      <c r="B5" s="157"/>
      <c r="C5" s="157"/>
      <c r="D5" s="157"/>
      <c r="E5" s="157"/>
      <c r="F5" s="157"/>
      <c r="G5" s="157"/>
      <c r="H5" s="157"/>
    </row>
    <row r="6" spans="1:8">
      <c r="A6" s="172"/>
      <c r="B6" s="172"/>
      <c r="C6" s="172"/>
      <c r="D6" s="172"/>
      <c r="E6" s="172"/>
      <c r="F6" s="172"/>
      <c r="G6" s="172"/>
      <c r="H6" s="172"/>
    </row>
    <row r="7" spans="1:8" customFormat="1" ht="15" customHeight="1">
      <c r="A7" s="131" t="s">
        <v>1</v>
      </c>
      <c r="B7" s="132"/>
      <c r="C7" s="133" t="s">
        <v>2</v>
      </c>
      <c r="D7" s="131"/>
      <c r="E7" s="131"/>
      <c r="F7" s="131"/>
      <c r="G7" s="131"/>
      <c r="H7" s="131"/>
    </row>
    <row r="8" spans="1:8" customFormat="1" ht="13.5" customHeight="1">
      <c r="A8" s="134" t="s">
        <v>3</v>
      </c>
      <c r="B8" s="134"/>
      <c r="C8" s="139" t="s">
        <v>63</v>
      </c>
      <c r="D8" s="134"/>
      <c r="E8" s="134"/>
      <c r="F8" s="134"/>
      <c r="G8" s="134"/>
      <c r="H8" s="134"/>
    </row>
    <row r="9" spans="1:8" customFormat="1" ht="15" customHeight="1">
      <c r="A9" s="134" t="s">
        <v>40</v>
      </c>
      <c r="B9" s="134"/>
      <c r="C9" s="139"/>
      <c r="D9" s="134"/>
      <c r="E9" s="134"/>
      <c r="F9" s="134"/>
      <c r="G9" s="134"/>
      <c r="H9" s="134"/>
    </row>
    <row r="10" spans="1:8" customFormat="1" ht="15" customHeight="1">
      <c r="A10" s="134" t="s">
        <v>41</v>
      </c>
      <c r="B10" s="140"/>
      <c r="C10" s="134"/>
      <c r="D10" s="134"/>
      <c r="E10" s="134"/>
      <c r="F10" s="134"/>
      <c r="G10" s="134"/>
      <c r="H10" s="134"/>
    </row>
    <row r="11" spans="1:8" customFormat="1" ht="15" customHeight="1">
      <c r="A11" s="141"/>
      <c r="B11" s="142"/>
      <c r="C11" s="163"/>
      <c r="D11" s="148"/>
      <c r="E11" s="148"/>
      <c r="F11" s="148"/>
      <c r="G11" s="148"/>
      <c r="H11" s="148"/>
    </row>
    <row r="12" spans="1:8" customFormat="1" ht="14.25" customHeight="1">
      <c r="A12" s="3" t="s">
        <v>10</v>
      </c>
      <c r="B12" s="9"/>
      <c r="C12" s="173"/>
      <c r="D12" s="131"/>
      <c r="E12" s="131"/>
      <c r="F12" s="131"/>
      <c r="G12" s="131"/>
      <c r="H12" s="131"/>
    </row>
    <row r="13" spans="1:8" customFormat="1" ht="14.25" customHeight="1">
      <c r="A13" s="146" t="s">
        <v>12</v>
      </c>
      <c r="B13" s="147"/>
      <c r="C13" s="174"/>
      <c r="D13" s="152"/>
      <c r="E13" s="152"/>
      <c r="F13" s="152"/>
      <c r="G13" s="152"/>
      <c r="H13" s="152"/>
    </row>
    <row r="14" spans="1:8" customFormat="1" ht="14.25" customHeight="1">
      <c r="A14" s="146" t="s">
        <v>64</v>
      </c>
      <c r="B14" s="147"/>
      <c r="C14" s="174"/>
      <c r="D14" s="152"/>
      <c r="E14" s="152"/>
      <c r="F14" s="152"/>
      <c r="G14" s="152"/>
      <c r="H14" s="152"/>
    </row>
    <row r="15" spans="1:8" customFormat="1" ht="14.25" customHeight="1">
      <c r="A15" s="134" t="s">
        <v>65</v>
      </c>
      <c r="B15" s="140"/>
      <c r="C15" s="174"/>
      <c r="D15" s="152"/>
      <c r="E15" s="152"/>
      <c r="F15" s="152"/>
      <c r="G15" s="152"/>
      <c r="H15" s="152"/>
    </row>
    <row r="16" spans="1:8" customFormat="1" ht="16.5" customHeight="1">
      <c r="A16" s="148"/>
      <c r="B16" s="149"/>
      <c r="C16" s="139"/>
      <c r="D16" s="152"/>
      <c r="E16" s="152"/>
      <c r="F16" s="152"/>
      <c r="G16" s="152"/>
      <c r="H16" s="152"/>
    </row>
    <row r="17" spans="1:8" customFormat="1" ht="14.25" customHeight="1">
      <c r="A17" s="131" t="s">
        <v>16</v>
      </c>
      <c r="B17" s="132"/>
      <c r="C17" s="139"/>
      <c r="D17" s="152"/>
      <c r="E17" s="152"/>
      <c r="F17" s="152"/>
      <c r="G17" s="152"/>
      <c r="H17" s="152"/>
    </row>
    <row r="18" spans="1:8" customFormat="1" ht="14.25" customHeight="1">
      <c r="A18" s="146" t="s">
        <v>17</v>
      </c>
      <c r="B18" s="147"/>
      <c r="C18" s="174"/>
      <c r="D18" s="152"/>
      <c r="E18" s="152"/>
      <c r="F18" s="152"/>
      <c r="G18" s="152"/>
      <c r="H18" s="152"/>
    </row>
    <row r="19" spans="1:8" customFormat="1" ht="14.25" customHeight="1">
      <c r="A19" s="146"/>
      <c r="B19" s="147"/>
      <c r="C19" s="174"/>
      <c r="D19" s="152"/>
      <c r="E19" s="152"/>
      <c r="F19" s="152"/>
      <c r="G19" s="152"/>
      <c r="H19" s="152"/>
    </row>
    <row r="20" spans="1:8" customFormat="1" ht="14.25" customHeight="1">
      <c r="A20" s="134"/>
      <c r="B20" s="140"/>
      <c r="C20" s="174"/>
      <c r="D20" s="152"/>
      <c r="E20" s="152"/>
      <c r="F20" s="152"/>
      <c r="G20" s="152"/>
      <c r="H20" s="152"/>
    </row>
    <row r="21" spans="1:8" customFormat="1" ht="12" customHeight="1">
      <c r="A21" s="9" t="s">
        <v>18</v>
      </c>
      <c r="B21" s="109" t="s">
        <v>19</v>
      </c>
      <c r="C21" s="174"/>
      <c r="D21" s="152"/>
      <c r="E21" s="152"/>
      <c r="F21" s="152"/>
      <c r="G21" s="152"/>
      <c r="H21" s="152"/>
    </row>
    <row r="22" spans="1:8" customFormat="1" ht="14.7" customHeight="1">
      <c r="A22" s="11" t="s">
        <v>20</v>
      </c>
      <c r="B22" s="110" t="s">
        <v>21</v>
      </c>
      <c r="C22" s="174"/>
      <c r="D22" s="152"/>
      <c r="E22" s="152"/>
      <c r="F22" s="152"/>
      <c r="G22" s="152"/>
      <c r="H22" s="152"/>
    </row>
    <row r="23" spans="1:8" customFormat="1" ht="12" customHeight="1">
      <c r="A23" s="9" t="s">
        <v>22</v>
      </c>
      <c r="B23" s="109" t="s">
        <v>23</v>
      </c>
      <c r="C23" s="174"/>
      <c r="D23" s="152"/>
      <c r="E23" s="152"/>
      <c r="F23" s="152"/>
      <c r="G23" s="152"/>
      <c r="H23" s="152"/>
    </row>
    <row r="24" spans="1:8" customFormat="1" ht="16.5" customHeight="1">
      <c r="A24" s="111" t="s">
        <v>61</v>
      </c>
      <c r="B24" s="112" t="s">
        <v>66</v>
      </c>
      <c r="C24" s="174"/>
      <c r="D24" s="152"/>
      <c r="E24" s="152"/>
      <c r="F24" s="152"/>
      <c r="G24" s="152"/>
      <c r="H24" s="152"/>
    </row>
    <row r="25" spans="1:8" customFormat="1" ht="20.25" customHeight="1">
      <c r="A25" s="46" t="s">
        <v>26</v>
      </c>
      <c r="B25" s="113" t="s">
        <v>27</v>
      </c>
      <c r="C25" s="47" t="s">
        <v>42</v>
      </c>
      <c r="D25" s="164" t="s">
        <v>43</v>
      </c>
      <c r="E25" s="165"/>
      <c r="F25" s="164" t="s">
        <v>44</v>
      </c>
      <c r="G25" s="165"/>
      <c r="H25" s="50" t="s">
        <v>45</v>
      </c>
    </row>
    <row r="26" spans="1:8">
      <c r="A26" s="152"/>
      <c r="B26" s="152"/>
      <c r="C26" s="152"/>
      <c r="D26" s="152"/>
      <c r="E26" s="152"/>
      <c r="F26" s="152"/>
      <c r="G26" s="152"/>
      <c r="H26" s="152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 ht="23.7" customHeight="1">
      <c r="A28" s="154" t="s">
        <v>35</v>
      </c>
      <c r="B28" s="154"/>
      <c r="C28" s="68"/>
      <c r="D28" s="166"/>
      <c r="E28" s="166"/>
      <c r="F28" s="69"/>
      <c r="G28" s="69"/>
      <c r="H28" s="114"/>
    </row>
    <row r="29" spans="1:8" ht="12" customHeight="1">
      <c r="A29" s="21" t="s">
        <v>34</v>
      </c>
      <c r="B29" s="115" t="s">
        <v>46</v>
      </c>
      <c r="C29" s="26"/>
      <c r="D29" s="158"/>
      <c r="E29" s="158"/>
      <c r="F29" s="24"/>
      <c r="G29" s="24"/>
      <c r="H29" s="25"/>
    </row>
    <row r="30" spans="1:8">
      <c r="A30" s="27"/>
      <c r="B30" s="22"/>
      <c r="C30" s="28"/>
      <c r="D30" s="21"/>
      <c r="E30" s="21"/>
      <c r="F30" s="21"/>
      <c r="G30" s="21"/>
      <c r="H30" s="21"/>
    </row>
    <row r="31" spans="1:8" s="22" customFormat="1" ht="12.45" customHeight="1">
      <c r="A31" s="27"/>
      <c r="B31" s="175" t="s">
        <v>47</v>
      </c>
      <c r="C31" s="176"/>
      <c r="D31" s="168" t="s">
        <v>67</v>
      </c>
      <c r="E31" s="168"/>
      <c r="F31" s="168" t="s">
        <v>68</v>
      </c>
      <c r="G31" s="168"/>
      <c r="H31" s="21"/>
    </row>
    <row r="32" spans="1:8" s="22" customFormat="1" ht="12" customHeight="1">
      <c r="A32" s="21"/>
      <c r="B32" s="128" t="s">
        <v>69</v>
      </c>
      <c r="C32" s="116" t="s">
        <v>70</v>
      </c>
      <c r="D32" s="171">
        <v>21980</v>
      </c>
      <c r="E32" s="171"/>
      <c r="F32" s="171">
        <f t="shared" ref="F32:F37" si="0">D32</f>
        <v>21980</v>
      </c>
      <c r="G32" s="171"/>
      <c r="H32" s="27"/>
    </row>
    <row r="33" spans="1:8" s="22" customFormat="1" ht="12" customHeight="1">
      <c r="A33" s="21"/>
      <c r="B33" s="128" t="s">
        <v>71</v>
      </c>
      <c r="C33" s="116" t="s">
        <v>72</v>
      </c>
      <c r="D33" s="171">
        <v>21980</v>
      </c>
      <c r="E33" s="171"/>
      <c r="F33" s="171">
        <f t="shared" si="0"/>
        <v>21980</v>
      </c>
      <c r="G33" s="171"/>
      <c r="H33" s="27"/>
    </row>
    <row r="34" spans="1:8">
      <c r="A34" s="28"/>
      <c r="B34" s="129" t="s">
        <v>73</v>
      </c>
      <c r="C34" s="117" t="s">
        <v>74</v>
      </c>
      <c r="D34" s="171">
        <v>22000</v>
      </c>
      <c r="E34" s="171"/>
      <c r="F34" s="171">
        <f t="shared" si="0"/>
        <v>22000</v>
      </c>
      <c r="G34" s="171"/>
      <c r="H34" s="27"/>
    </row>
    <row r="35" spans="1:8">
      <c r="A35" s="28"/>
      <c r="B35" s="129" t="s">
        <v>75</v>
      </c>
      <c r="C35" s="117" t="s">
        <v>76</v>
      </c>
      <c r="D35" s="171">
        <v>21980</v>
      </c>
      <c r="E35" s="171"/>
      <c r="F35" s="171">
        <f t="shared" si="0"/>
        <v>21980</v>
      </c>
      <c r="G35" s="171"/>
      <c r="H35" s="27"/>
    </row>
    <row r="36" spans="1:8">
      <c r="A36" s="28"/>
      <c r="B36" s="130" t="s">
        <v>77</v>
      </c>
      <c r="C36" s="118" t="s">
        <v>78</v>
      </c>
      <c r="D36" s="171">
        <v>22000</v>
      </c>
      <c r="E36" s="171"/>
      <c r="F36" s="171">
        <f t="shared" si="0"/>
        <v>22000</v>
      </c>
      <c r="G36" s="171"/>
      <c r="H36" s="27"/>
    </row>
    <row r="37" spans="1:8">
      <c r="A37" s="28"/>
      <c r="B37" s="130" t="s">
        <v>79</v>
      </c>
      <c r="C37" s="118" t="s">
        <v>80</v>
      </c>
      <c r="D37" s="171">
        <v>22000</v>
      </c>
      <c r="E37" s="171"/>
      <c r="F37" s="171">
        <f t="shared" si="0"/>
        <v>22000</v>
      </c>
      <c r="G37" s="171"/>
      <c r="H37" s="27"/>
    </row>
    <row r="38" spans="1:8">
      <c r="A38" s="29"/>
      <c r="B38" s="29"/>
      <c r="C38" s="29"/>
      <c r="D38" s="30"/>
      <c r="E38" s="30"/>
      <c r="F38" s="30"/>
      <c r="G38" s="21"/>
      <c r="H38" s="27"/>
    </row>
    <row r="39" spans="1:8" s="108" customFormat="1">
      <c r="A39" s="27"/>
      <c r="B39" s="27" t="s">
        <v>37</v>
      </c>
      <c r="C39" s="27" t="s">
        <v>81</v>
      </c>
      <c r="D39" s="107">
        <f>SUM(D32:D38)</f>
        <v>131940</v>
      </c>
      <c r="E39" s="107" t="s">
        <v>56</v>
      </c>
      <c r="F39" s="107">
        <f>SUM(F32:F37)</f>
        <v>131940</v>
      </c>
      <c r="G39" s="119" t="s">
        <v>56</v>
      </c>
      <c r="H39" s="78" t="s">
        <v>82</v>
      </c>
    </row>
    <row r="40" spans="1:8" ht="21.75" customHeight="1">
      <c r="D40" s="120"/>
      <c r="E40" s="120"/>
      <c r="F40" s="120"/>
      <c r="G40" s="120"/>
    </row>
    <row r="41" spans="1:8">
      <c r="C41" s="121"/>
      <c r="D41" s="122"/>
      <c r="E41" s="122"/>
      <c r="F41" s="122"/>
      <c r="G41" s="122"/>
    </row>
    <row r="43" spans="1:8">
      <c r="D43" s="32" t="s">
        <v>58</v>
      </c>
      <c r="E43" s="32"/>
      <c r="F43" s="32"/>
      <c r="G43" s="32"/>
      <c r="H43" s="120"/>
    </row>
    <row r="46" spans="1:8" ht="13.2">
      <c r="B46" s="43"/>
    </row>
    <row r="47" spans="1:8">
      <c r="F47" s="123"/>
    </row>
  </sheetData>
  <mergeCells count="41">
    <mergeCell ref="D37:E37"/>
    <mergeCell ref="F37:G37"/>
    <mergeCell ref="A2:H6"/>
    <mergeCell ref="C12:H24"/>
    <mergeCell ref="D34:E34"/>
    <mergeCell ref="F34:G34"/>
    <mergeCell ref="D35:E35"/>
    <mergeCell ref="F35:G35"/>
    <mergeCell ref="D36:E36"/>
    <mergeCell ref="F36:G36"/>
    <mergeCell ref="F31:G31"/>
    <mergeCell ref="D32:E32"/>
    <mergeCell ref="F32:G32"/>
    <mergeCell ref="D33:E33"/>
    <mergeCell ref="F33:G33"/>
    <mergeCell ref="A28:B28"/>
    <mergeCell ref="D28:E28"/>
    <mergeCell ref="D29:E29"/>
    <mergeCell ref="B31:C31"/>
    <mergeCell ref="D31:E31"/>
    <mergeCell ref="A19:B19"/>
    <mergeCell ref="A20:B20"/>
    <mergeCell ref="D25:E25"/>
    <mergeCell ref="F25:G25"/>
    <mergeCell ref="A26:H26"/>
    <mergeCell ref="A14:B14"/>
    <mergeCell ref="A15:B15"/>
    <mergeCell ref="A16:B16"/>
    <mergeCell ref="A17:B17"/>
    <mergeCell ref="A18:B18"/>
    <mergeCell ref="A10:B10"/>
    <mergeCell ref="C10:H10"/>
    <mergeCell ref="A11:B11"/>
    <mergeCell ref="C11:H11"/>
    <mergeCell ref="A13:B13"/>
    <mergeCell ref="A7:B7"/>
    <mergeCell ref="C7:H7"/>
    <mergeCell ref="A8:B8"/>
    <mergeCell ref="C8:H8"/>
    <mergeCell ref="A9:B9"/>
    <mergeCell ref="C9:H9"/>
  </mergeCells>
  <phoneticPr fontId="25" type="noConversion"/>
  <conditionalFormatting sqref="B32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G49"/>
  <sheetViews>
    <sheetView topLeftCell="A13" workbookViewId="0">
      <selection activeCell="E30" sqref="E30:F30"/>
    </sheetView>
  </sheetViews>
  <sheetFormatPr defaultColWidth="9" defaultRowHeight="15.6"/>
  <cols>
    <col min="1" max="1" width="22.69921875" customWidth="1"/>
    <col min="2" max="2" width="24.5" customWidth="1"/>
    <col min="3" max="3" width="9" customWidth="1"/>
    <col min="4" max="4" width="11.59765625" customWidth="1"/>
    <col min="5" max="5" width="14.09765625" customWidth="1"/>
    <col min="6" max="6" width="11.59765625" customWidth="1"/>
    <col min="7" max="7" width="12.69921875" customWidth="1"/>
  </cols>
  <sheetData>
    <row r="2" spans="1:7">
      <c r="A2" s="157" t="s">
        <v>0</v>
      </c>
      <c r="B2" s="157"/>
      <c r="C2" s="157"/>
      <c r="D2" s="157"/>
      <c r="E2" s="157"/>
      <c r="F2" s="157"/>
      <c r="G2" s="8"/>
    </row>
    <row r="3" spans="1:7">
      <c r="A3" s="157"/>
      <c r="B3" s="157"/>
      <c r="C3" s="157"/>
      <c r="D3" s="157"/>
      <c r="E3" s="157"/>
      <c r="F3" s="157"/>
      <c r="G3" s="8"/>
    </row>
    <row r="4" spans="1:7">
      <c r="A4" s="157"/>
      <c r="B4" s="157"/>
      <c r="C4" s="157"/>
      <c r="D4" s="157"/>
      <c r="E4" s="157"/>
      <c r="F4" s="157"/>
      <c r="G4" s="8"/>
    </row>
    <row r="5" spans="1:7">
      <c r="A5" s="157"/>
      <c r="B5" s="157"/>
      <c r="C5" s="157"/>
      <c r="D5" s="157"/>
      <c r="E5" s="157"/>
      <c r="F5" s="157"/>
      <c r="G5" s="1"/>
    </row>
    <row r="6" spans="1:7" ht="15.75" customHeight="1">
      <c r="A6" s="157"/>
      <c r="B6" s="157"/>
      <c r="C6" s="157"/>
      <c r="D6" s="157"/>
      <c r="E6" s="157"/>
      <c r="F6" s="157"/>
    </row>
    <row r="7" spans="1:7" ht="2.25" customHeight="1">
      <c r="A7" s="157"/>
      <c r="B7" s="157"/>
      <c r="C7" s="157"/>
      <c r="D7" s="157"/>
      <c r="E7" s="157"/>
      <c r="F7" s="157"/>
    </row>
    <row r="8" spans="1:7" ht="13.5" hidden="1" customHeight="1">
      <c r="A8" s="157"/>
      <c r="B8" s="157"/>
      <c r="C8" s="157"/>
      <c r="D8" s="157"/>
      <c r="E8" s="157"/>
      <c r="F8" s="157"/>
    </row>
    <row r="9" spans="1:7" ht="17.25" hidden="1" customHeight="1">
      <c r="A9" s="157"/>
      <c r="B9" s="157"/>
      <c r="C9" s="157"/>
      <c r="D9" s="157"/>
      <c r="E9" s="157"/>
      <c r="F9" s="157"/>
    </row>
    <row r="10" spans="1:7" ht="13.5" customHeight="1">
      <c r="A10" s="146"/>
      <c r="B10" s="147"/>
      <c r="C10" s="4"/>
    </row>
    <row r="11" spans="1:7" ht="15" customHeight="1">
      <c r="A11" s="177" t="s">
        <v>1</v>
      </c>
      <c r="B11" s="177"/>
      <c r="C11" s="133" t="s">
        <v>2</v>
      </c>
      <c r="D11" s="131"/>
      <c r="E11" s="131"/>
      <c r="F11" s="131"/>
    </row>
    <row r="12" spans="1:7" ht="12" customHeight="1">
      <c r="A12" s="178" t="s">
        <v>83</v>
      </c>
      <c r="B12" s="178"/>
      <c r="C12" s="144" t="s">
        <v>84</v>
      </c>
      <c r="D12" s="145"/>
      <c r="E12" s="145"/>
      <c r="F12" s="145"/>
    </row>
    <row r="13" spans="1:7" ht="14.25" customHeight="1">
      <c r="A13" s="178" t="s">
        <v>85</v>
      </c>
      <c r="B13" s="178"/>
      <c r="C13" s="137" t="s">
        <v>86</v>
      </c>
      <c r="D13" s="138"/>
      <c r="E13" s="138"/>
      <c r="F13" s="138"/>
    </row>
    <row r="14" spans="1:7" ht="17.25" customHeight="1">
      <c r="A14" s="179" t="s">
        <v>87</v>
      </c>
      <c r="B14" s="179"/>
      <c r="C14" s="139"/>
      <c r="D14" s="134"/>
      <c r="E14" s="134"/>
      <c r="F14" s="134"/>
    </row>
    <row r="15" spans="1:7" ht="15" customHeight="1">
      <c r="A15" s="45" t="s">
        <v>10</v>
      </c>
      <c r="B15" s="45"/>
      <c r="C15" s="133" t="s">
        <v>9</v>
      </c>
      <c r="D15" s="131"/>
      <c r="E15" s="143"/>
      <c r="F15" s="143"/>
    </row>
    <row r="16" spans="1:7" ht="14.25" customHeight="1">
      <c r="A16" s="178" t="s">
        <v>3</v>
      </c>
      <c r="B16" s="178"/>
      <c r="C16" s="144" t="s">
        <v>88</v>
      </c>
      <c r="D16" s="145"/>
      <c r="E16" s="145"/>
      <c r="F16" s="145"/>
    </row>
    <row r="17" spans="1:7" ht="14.25" customHeight="1">
      <c r="A17" s="178" t="s">
        <v>5</v>
      </c>
      <c r="B17" s="178"/>
      <c r="C17" s="184" t="s">
        <v>89</v>
      </c>
      <c r="D17" s="185"/>
      <c r="E17" s="185"/>
      <c r="F17" s="185"/>
    </row>
    <row r="18" spans="1:7" ht="14.25" customHeight="1">
      <c r="A18" s="179" t="s">
        <v>7</v>
      </c>
      <c r="B18" s="179"/>
      <c r="C18" s="184"/>
      <c r="D18" s="185"/>
      <c r="E18" s="185"/>
      <c r="F18" s="185"/>
    </row>
    <row r="19" spans="1:7" ht="14.25" customHeight="1">
      <c r="A19" s="177" t="s">
        <v>16</v>
      </c>
      <c r="B19" s="177"/>
      <c r="C19" s="184"/>
      <c r="D19" s="185"/>
      <c r="E19" s="185"/>
      <c r="F19" s="185"/>
    </row>
    <row r="20" spans="1:7" ht="14.25" customHeight="1">
      <c r="A20" s="180" t="s">
        <v>17</v>
      </c>
      <c r="B20" s="180"/>
      <c r="C20" s="184"/>
      <c r="D20" s="185"/>
      <c r="E20" s="185"/>
      <c r="F20" s="185"/>
    </row>
    <row r="21" spans="1:7" ht="14.25" customHeight="1">
      <c r="A21" s="146"/>
      <c r="B21" s="146"/>
      <c r="C21" s="184"/>
      <c r="D21" s="185"/>
      <c r="E21" s="185"/>
      <c r="F21" s="185"/>
    </row>
    <row r="22" spans="1:7" ht="14.25" customHeight="1">
      <c r="A22" s="180"/>
      <c r="B22" s="181"/>
      <c r="C22" s="184"/>
      <c r="D22" s="185"/>
      <c r="E22" s="185"/>
      <c r="F22" s="185"/>
    </row>
    <row r="23" spans="1:7">
      <c r="A23" s="9" t="s">
        <v>18</v>
      </c>
      <c r="B23" s="10" t="s">
        <v>19</v>
      </c>
      <c r="C23" s="184"/>
      <c r="D23" s="185"/>
      <c r="E23" s="185"/>
      <c r="F23" s="185"/>
    </row>
    <row r="24" spans="1:7" ht="21.75" customHeight="1">
      <c r="A24" s="11" t="s">
        <v>90</v>
      </c>
      <c r="B24" s="12" t="s">
        <v>91</v>
      </c>
      <c r="C24" s="184"/>
      <c r="D24" s="185"/>
      <c r="E24" s="185"/>
      <c r="F24" s="185"/>
    </row>
    <row r="25" spans="1:7" ht="16.5" customHeight="1">
      <c r="A25" s="9" t="s">
        <v>22</v>
      </c>
      <c r="B25" s="10" t="s">
        <v>23</v>
      </c>
      <c r="C25" s="184"/>
      <c r="D25" s="185"/>
      <c r="E25" s="185"/>
      <c r="F25" s="185"/>
    </row>
    <row r="26" spans="1:7">
      <c r="A26" s="11"/>
      <c r="B26" s="12" t="s">
        <v>92</v>
      </c>
      <c r="C26" s="186"/>
      <c r="D26" s="187"/>
      <c r="E26" s="187"/>
      <c r="F26" s="187"/>
    </row>
    <row r="27" spans="1:7" ht="14.25" customHeight="1">
      <c r="A27" s="13" t="s">
        <v>26</v>
      </c>
      <c r="B27" s="182" t="s">
        <v>27</v>
      </c>
      <c r="C27" s="183"/>
      <c r="D27" s="34" t="s">
        <v>28</v>
      </c>
      <c r="E27" s="14" t="s">
        <v>29</v>
      </c>
      <c r="F27" s="17" t="s">
        <v>30</v>
      </c>
    </row>
    <row r="28" spans="1:7" ht="12" customHeight="1">
      <c r="A28" s="6"/>
      <c r="B28" s="28"/>
      <c r="C28" s="28"/>
      <c r="D28" s="28" t="s">
        <v>31</v>
      </c>
      <c r="E28" s="28" t="s">
        <v>32</v>
      </c>
      <c r="F28" s="35" t="s">
        <v>33</v>
      </c>
    </row>
    <row r="29" spans="1:7" ht="6" customHeight="1">
      <c r="A29" s="152"/>
      <c r="B29" s="152"/>
      <c r="C29" s="152"/>
      <c r="D29" s="152"/>
      <c r="E29" s="152"/>
      <c r="F29" s="152"/>
    </row>
    <row r="30" spans="1:7" ht="15.75" customHeight="1">
      <c r="A30" s="6"/>
      <c r="B30" s="6"/>
      <c r="C30" s="6"/>
      <c r="D30" s="6" t="s">
        <v>93</v>
      </c>
      <c r="E30" s="153" t="s">
        <v>94</v>
      </c>
      <c r="F30" s="153"/>
    </row>
    <row r="31" spans="1:7" ht="11.25" customHeight="1">
      <c r="A31" s="27"/>
      <c r="B31" s="153"/>
      <c r="C31" s="153"/>
      <c r="D31" s="6"/>
    </row>
    <row r="32" spans="1:7" ht="15" customHeight="1">
      <c r="A32" s="36" t="s">
        <v>95</v>
      </c>
      <c r="B32" s="7" t="s">
        <v>96</v>
      </c>
      <c r="C32" s="22"/>
      <c r="D32" s="38">
        <v>4.32</v>
      </c>
      <c r="E32" s="38">
        <v>4670</v>
      </c>
      <c r="F32" s="38">
        <f>D32*E32</f>
        <v>20174.400000000001</v>
      </c>
      <c r="G32" s="39"/>
    </row>
    <row r="33" spans="1:6" ht="15" customHeight="1">
      <c r="A33" s="27"/>
      <c r="B33" s="21" t="s">
        <v>97</v>
      </c>
      <c r="C33" s="21"/>
      <c r="D33" s="21"/>
      <c r="E33" s="40"/>
      <c r="F33" s="40"/>
    </row>
    <row r="34" spans="1:6" ht="15" customHeight="1">
      <c r="A34" s="27"/>
      <c r="B34" s="21" t="s">
        <v>98</v>
      </c>
      <c r="C34" s="21"/>
      <c r="D34" s="21"/>
      <c r="E34" s="40"/>
      <c r="F34" s="40"/>
    </row>
    <row r="35" spans="1:6" ht="15" customHeight="1">
      <c r="A35" s="27"/>
      <c r="B35" s="153" t="s">
        <v>99</v>
      </c>
      <c r="C35" s="153"/>
      <c r="D35" s="153"/>
      <c r="E35" s="153"/>
      <c r="F35" s="153"/>
    </row>
    <row r="36" spans="1:6" ht="15" customHeight="1">
      <c r="A36" s="27"/>
      <c r="B36" s="27"/>
      <c r="C36" s="27"/>
      <c r="D36" s="26"/>
      <c r="E36" s="41"/>
      <c r="F36" s="26"/>
    </row>
    <row r="37" spans="1:6" ht="15" customHeight="1">
      <c r="A37" s="27"/>
      <c r="B37" s="27"/>
      <c r="C37" s="27"/>
      <c r="D37" s="26"/>
      <c r="E37" s="41"/>
      <c r="F37" s="26"/>
    </row>
    <row r="38" spans="1:6" ht="15" customHeight="1">
      <c r="A38" s="153"/>
      <c r="B38" s="153"/>
      <c r="C38" s="7"/>
      <c r="D38" s="28"/>
      <c r="E38" s="21"/>
      <c r="F38" s="21"/>
    </row>
    <row r="39" spans="1:6" ht="15" customHeight="1">
      <c r="A39" s="156"/>
      <c r="B39" s="156"/>
      <c r="C39" s="29"/>
      <c r="D39" s="29"/>
      <c r="E39" s="30"/>
      <c r="F39" s="30"/>
    </row>
    <row r="40" spans="1:6" ht="15" customHeight="1">
      <c r="A40" s="21"/>
      <c r="B40" s="28" t="s">
        <v>37</v>
      </c>
      <c r="C40" s="28"/>
      <c r="D40" s="42" t="s">
        <v>100</v>
      </c>
      <c r="E40" s="28" t="s">
        <v>101</v>
      </c>
      <c r="F40" s="65">
        <f>F32</f>
        <v>20174.400000000001</v>
      </c>
    </row>
    <row r="41" spans="1:6" ht="15" customHeight="1">
      <c r="A41" s="21"/>
      <c r="B41" s="28"/>
      <c r="C41" s="28"/>
      <c r="D41" s="28"/>
      <c r="E41" s="28"/>
      <c r="F41" s="28"/>
    </row>
    <row r="42" spans="1:6" ht="21.75" customHeight="1">
      <c r="A42" s="21"/>
      <c r="B42" s="28"/>
      <c r="C42" s="28"/>
      <c r="D42" s="28"/>
      <c r="E42" s="28"/>
      <c r="F42" s="21"/>
    </row>
    <row r="43" spans="1:6">
      <c r="A43" s="152"/>
      <c r="B43" s="152"/>
      <c r="C43" s="152"/>
      <c r="D43" s="152"/>
      <c r="E43" s="152"/>
      <c r="F43" s="152"/>
    </row>
    <row r="44" spans="1:6">
      <c r="A44" s="43"/>
    </row>
    <row r="49" spans="5:5">
      <c r="E49" s="44" t="s">
        <v>38</v>
      </c>
    </row>
  </sheetData>
  <mergeCells count="28">
    <mergeCell ref="A43:F43"/>
    <mergeCell ref="A2:F9"/>
    <mergeCell ref="C17:F26"/>
    <mergeCell ref="E30:F30"/>
    <mergeCell ref="B31:C31"/>
    <mergeCell ref="B35:F35"/>
    <mergeCell ref="A38:B38"/>
    <mergeCell ref="A39:B39"/>
    <mergeCell ref="A20:B20"/>
    <mergeCell ref="A21:B21"/>
    <mergeCell ref="A22:B22"/>
    <mergeCell ref="B27:C27"/>
    <mergeCell ref="A29:F29"/>
    <mergeCell ref="A16:B16"/>
    <mergeCell ref="C16:F16"/>
    <mergeCell ref="A17:B17"/>
    <mergeCell ref="A18:B18"/>
    <mergeCell ref="A19:B19"/>
    <mergeCell ref="A13:B13"/>
    <mergeCell ref="C13:F13"/>
    <mergeCell ref="A14:B14"/>
    <mergeCell ref="C14:F14"/>
    <mergeCell ref="C15:F15"/>
    <mergeCell ref="A10:B10"/>
    <mergeCell ref="A11:B11"/>
    <mergeCell ref="C11:F11"/>
    <mergeCell ref="A12:B12"/>
    <mergeCell ref="C12:F12"/>
  </mergeCells>
  <phoneticPr fontId="25" type="noConversion"/>
  <pageMargins left="0.70866141732283505" right="0.70866141732283505" top="0.74803149606299202" bottom="0.74803149606299202" header="0.31496062992126" footer="0.31496062992126"/>
  <pageSetup paperSize="9" scale="8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45"/>
  <sheetViews>
    <sheetView topLeftCell="A19" workbookViewId="0">
      <selection activeCell="H27" sqref="H27"/>
    </sheetView>
  </sheetViews>
  <sheetFormatPr defaultColWidth="9" defaultRowHeight="12"/>
  <cols>
    <col min="1" max="1" width="21.19921875" style="1" customWidth="1"/>
    <col min="2" max="2" width="19.19921875" style="1" customWidth="1"/>
    <col min="3" max="3" width="5.69921875" style="1" customWidth="1"/>
    <col min="4" max="4" width="7.796875" style="1" customWidth="1"/>
    <col min="5" max="5" width="9.8984375" style="1" customWidth="1"/>
    <col min="6" max="6" width="8.8984375" style="1" customWidth="1"/>
    <col min="7" max="7" width="11.59765625" style="1" customWidth="1"/>
    <col min="8" max="16384" width="9" style="1"/>
  </cols>
  <sheetData>
    <row r="2" spans="1:7" ht="14.25" customHeight="1">
      <c r="A2" s="157" t="s">
        <v>39</v>
      </c>
      <c r="B2" s="157"/>
      <c r="C2" s="157"/>
      <c r="D2" s="157"/>
      <c r="E2" s="157"/>
      <c r="F2" s="157"/>
      <c r="G2" s="157"/>
    </row>
    <row r="3" spans="1:7" ht="14.25" customHeight="1">
      <c r="A3" s="157"/>
      <c r="B3" s="157"/>
      <c r="C3" s="157"/>
      <c r="D3" s="157"/>
      <c r="E3" s="157"/>
      <c r="F3" s="157"/>
      <c r="G3" s="157"/>
    </row>
    <row r="4" spans="1:7" ht="14.25" customHeight="1">
      <c r="A4" s="157"/>
      <c r="B4" s="157"/>
      <c r="C4" s="157"/>
      <c r="D4" s="157"/>
      <c r="E4" s="157"/>
      <c r="F4" s="157"/>
      <c r="G4" s="157"/>
    </row>
    <row r="5" spans="1:7" ht="12" customHeight="1">
      <c r="A5" s="157"/>
      <c r="B5" s="157"/>
      <c r="C5" s="157"/>
      <c r="D5" s="157"/>
      <c r="E5" s="157"/>
      <c r="F5" s="157"/>
      <c r="G5" s="157"/>
    </row>
    <row r="6" spans="1:7" ht="17.399999999999999" customHeight="1">
      <c r="A6" s="172"/>
      <c r="B6" s="172"/>
      <c r="C6" s="172"/>
      <c r="D6" s="172"/>
      <c r="E6" s="172"/>
      <c r="F6" s="172"/>
      <c r="G6" s="172"/>
    </row>
    <row r="7" spans="1:7" customFormat="1" ht="17.399999999999999" customHeight="1">
      <c r="A7" s="177" t="s">
        <v>1</v>
      </c>
      <c r="B7" s="177"/>
      <c r="C7" s="188" t="s">
        <v>2</v>
      </c>
      <c r="D7" s="189"/>
      <c r="E7" s="189"/>
      <c r="F7" s="189"/>
      <c r="G7" s="189"/>
    </row>
    <row r="8" spans="1:7" customFormat="1" ht="17.399999999999999" customHeight="1">
      <c r="A8" s="178" t="s">
        <v>83</v>
      </c>
      <c r="B8" s="178"/>
      <c r="C8" s="190" t="s">
        <v>102</v>
      </c>
      <c r="D8" s="180"/>
      <c r="E8" s="180"/>
      <c r="F8" s="180"/>
      <c r="G8" s="180"/>
    </row>
    <row r="9" spans="1:7" customFormat="1" ht="17.399999999999999" customHeight="1">
      <c r="A9" s="178" t="s">
        <v>85</v>
      </c>
      <c r="B9" s="178"/>
      <c r="C9" s="190"/>
      <c r="D9" s="180"/>
      <c r="E9" s="180"/>
      <c r="F9" s="180"/>
      <c r="G9" s="180"/>
    </row>
    <row r="10" spans="1:7" customFormat="1" ht="17.399999999999999" customHeight="1">
      <c r="A10" s="179" t="s">
        <v>87</v>
      </c>
      <c r="B10" s="179"/>
      <c r="C10" s="191"/>
      <c r="D10" s="192"/>
      <c r="E10" s="192"/>
      <c r="F10" s="192"/>
      <c r="G10" s="192"/>
    </row>
    <row r="11" spans="1:7" customFormat="1" ht="17.399999999999999" customHeight="1">
      <c r="A11" s="45" t="s">
        <v>10</v>
      </c>
      <c r="B11" s="45"/>
      <c r="C11" s="193"/>
      <c r="D11" s="194"/>
      <c r="E11" s="194"/>
      <c r="F11" s="194"/>
      <c r="G11" s="194"/>
    </row>
    <row r="12" spans="1:7" customFormat="1" ht="17.399999999999999" customHeight="1">
      <c r="A12" s="178" t="s">
        <v>3</v>
      </c>
      <c r="B12" s="178"/>
      <c r="C12" s="199" t="s">
        <v>103</v>
      </c>
      <c r="D12" s="153"/>
      <c r="E12" s="153"/>
      <c r="F12" s="153"/>
      <c r="G12" s="153"/>
    </row>
    <row r="13" spans="1:7" customFormat="1" ht="17.399999999999999" customHeight="1">
      <c r="A13" s="178" t="s">
        <v>5</v>
      </c>
      <c r="B13" s="178"/>
      <c r="C13" s="199"/>
      <c r="D13" s="153"/>
      <c r="E13" s="153"/>
      <c r="F13" s="153"/>
      <c r="G13" s="153"/>
    </row>
    <row r="14" spans="1:7" customFormat="1" ht="17.399999999999999" customHeight="1">
      <c r="A14" s="179" t="s">
        <v>7</v>
      </c>
      <c r="B14" s="179"/>
      <c r="C14" s="199"/>
      <c r="D14" s="153"/>
      <c r="E14" s="153"/>
      <c r="F14" s="153"/>
      <c r="G14" s="153"/>
    </row>
    <row r="15" spans="1:7" customFormat="1" ht="17.399999999999999" customHeight="1">
      <c r="A15" s="180"/>
      <c r="B15" s="180"/>
      <c r="C15" s="199"/>
      <c r="D15" s="153"/>
      <c r="E15" s="153"/>
      <c r="F15" s="153"/>
      <c r="G15" s="153"/>
    </row>
    <row r="16" spans="1:7" customFormat="1" ht="17.399999999999999" customHeight="1">
      <c r="A16" s="177" t="s">
        <v>16</v>
      </c>
      <c r="B16" s="177"/>
      <c r="C16" s="161"/>
      <c r="D16" s="153"/>
      <c r="E16" s="153"/>
      <c r="F16" s="153"/>
      <c r="G16" s="153"/>
    </row>
    <row r="17" spans="1:7" customFormat="1" ht="17.399999999999999" customHeight="1">
      <c r="A17" s="178" t="s">
        <v>3</v>
      </c>
      <c r="B17" s="178"/>
      <c r="C17" s="161"/>
      <c r="D17" s="153"/>
      <c r="E17" s="153"/>
      <c r="F17" s="153"/>
      <c r="G17" s="153"/>
    </row>
    <row r="18" spans="1:7" customFormat="1" ht="18.45" customHeight="1">
      <c r="A18" s="178" t="s">
        <v>5</v>
      </c>
      <c r="B18" s="178"/>
      <c r="C18" s="199"/>
      <c r="D18" s="153"/>
      <c r="E18" s="153"/>
      <c r="F18" s="153"/>
      <c r="G18" s="153"/>
    </row>
    <row r="19" spans="1:7" customFormat="1" ht="17.399999999999999" customHeight="1">
      <c r="A19" s="179" t="s">
        <v>7</v>
      </c>
      <c r="B19" s="179"/>
      <c r="C19" s="199"/>
      <c r="D19" s="153"/>
      <c r="E19" s="153"/>
      <c r="F19" s="153"/>
      <c r="G19" s="153"/>
    </row>
    <row r="20" spans="1:7" customFormat="1" ht="17.399999999999999" customHeight="1">
      <c r="A20" s="9" t="s">
        <v>18</v>
      </c>
      <c r="B20" s="10" t="s">
        <v>19</v>
      </c>
      <c r="C20" s="199"/>
      <c r="D20" s="153"/>
      <c r="E20" s="153"/>
      <c r="F20" s="153"/>
      <c r="G20" s="153"/>
    </row>
    <row r="21" spans="1:7" customFormat="1" ht="17.399999999999999" customHeight="1">
      <c r="A21" s="11" t="s">
        <v>90</v>
      </c>
      <c r="B21" s="12" t="s">
        <v>91</v>
      </c>
      <c r="C21" s="199"/>
      <c r="D21" s="153"/>
      <c r="E21" s="153"/>
      <c r="F21" s="153"/>
      <c r="G21" s="153"/>
    </row>
    <row r="22" spans="1:7" customFormat="1" ht="17.399999999999999" customHeight="1">
      <c r="A22" s="9" t="s">
        <v>22</v>
      </c>
      <c r="B22" s="10" t="s">
        <v>23</v>
      </c>
      <c r="C22" s="199"/>
      <c r="D22" s="153"/>
      <c r="E22" s="153"/>
      <c r="F22" s="153"/>
      <c r="G22" s="153"/>
    </row>
    <row r="23" spans="1:7" customFormat="1" ht="15" customHeight="1">
      <c r="A23" s="11" t="s">
        <v>104</v>
      </c>
      <c r="B23" s="12" t="s">
        <v>105</v>
      </c>
      <c r="C23" s="200"/>
      <c r="D23" s="201"/>
      <c r="E23" s="201"/>
      <c r="F23" s="201"/>
      <c r="G23" s="201"/>
    </row>
    <row r="24" spans="1:7" customFormat="1" ht="22.95" customHeight="1">
      <c r="A24" s="46" t="s">
        <v>26</v>
      </c>
      <c r="B24" s="195" t="s">
        <v>27</v>
      </c>
      <c r="C24" s="196"/>
      <c r="D24" s="47" t="s">
        <v>106</v>
      </c>
      <c r="E24" s="48" t="s">
        <v>107</v>
      </c>
      <c r="F24" s="49" t="s">
        <v>108</v>
      </c>
      <c r="G24" s="50" t="s">
        <v>109</v>
      </c>
    </row>
    <row r="25" spans="1:7" customFormat="1" ht="17.399999999999999" customHeight="1">
      <c r="A25" s="4"/>
      <c r="B25" s="19"/>
      <c r="C25" s="19"/>
      <c r="D25" s="20"/>
      <c r="E25" s="19"/>
      <c r="F25" s="19"/>
      <c r="G25" s="20"/>
    </row>
    <row r="26" spans="1:7" ht="11.25" customHeight="1">
      <c r="A26"/>
      <c r="B26" s="7" t="s">
        <v>110</v>
      </c>
      <c r="C26" s="68"/>
      <c r="D26" s="166"/>
      <c r="E26" s="166"/>
      <c r="F26" s="69"/>
      <c r="G26" s="69"/>
    </row>
    <row r="27" spans="1:7" ht="12" customHeight="1">
      <c r="A27" s="21" t="s">
        <v>34</v>
      </c>
      <c r="B27" s="21" t="s">
        <v>111</v>
      </c>
      <c r="C27" s="26"/>
      <c r="D27" s="158"/>
      <c r="E27" s="158"/>
      <c r="F27" s="24"/>
      <c r="G27" s="24"/>
    </row>
    <row r="28" spans="1:7" ht="12" customHeight="1">
      <c r="A28" s="27"/>
      <c r="B28" s="22"/>
      <c r="C28" s="28"/>
      <c r="D28" s="21"/>
      <c r="E28" s="21"/>
      <c r="F28" s="21"/>
      <c r="G28" s="21"/>
    </row>
    <row r="29" spans="1:7" ht="11.25" customHeight="1">
      <c r="A29" s="27"/>
      <c r="B29" s="21"/>
      <c r="C29" s="21"/>
      <c r="D29" s="21"/>
      <c r="E29" s="21"/>
      <c r="F29" s="21"/>
      <c r="G29" s="21"/>
    </row>
    <row r="30" spans="1:7" ht="11.25" customHeight="1">
      <c r="A30" s="21"/>
      <c r="B30" s="56"/>
      <c r="C30" s="76"/>
      <c r="D30" s="197"/>
      <c r="E30" s="197"/>
      <c r="F30" s="197"/>
      <c r="G30" s="197"/>
    </row>
    <row r="31" spans="1:7" ht="11.25" customHeight="1">
      <c r="A31" s="21"/>
      <c r="B31" s="57"/>
      <c r="C31" s="76"/>
      <c r="D31" s="197"/>
      <c r="E31" s="197"/>
      <c r="F31" s="197"/>
      <c r="G31" s="197"/>
    </row>
    <row r="32" spans="1:7" ht="11.25" customHeight="1">
      <c r="A32" s="21"/>
      <c r="B32" s="56"/>
      <c r="C32" s="76"/>
      <c r="D32" s="197"/>
      <c r="E32" s="197"/>
      <c r="F32" s="197"/>
      <c r="G32" s="197"/>
    </row>
    <row r="33" spans="1:7" ht="11.25" customHeight="1">
      <c r="A33" s="156"/>
      <c r="B33" s="156"/>
      <c r="C33" s="29"/>
      <c r="D33" s="30"/>
      <c r="E33" s="30"/>
      <c r="F33" s="30"/>
      <c r="G33" s="21"/>
    </row>
    <row r="34" spans="1:7" ht="11.7" customHeight="1">
      <c r="A34" s="27"/>
      <c r="B34" s="27" t="s">
        <v>37</v>
      </c>
      <c r="C34" s="27" t="s">
        <v>112</v>
      </c>
      <c r="D34" s="27" t="s">
        <v>112</v>
      </c>
      <c r="E34" s="107" t="s">
        <v>113</v>
      </c>
      <c r="F34" s="77" t="s">
        <v>114</v>
      </c>
      <c r="G34" s="78" t="s">
        <v>115</v>
      </c>
    </row>
    <row r="35" spans="1:7">
      <c r="A35" s="21"/>
      <c r="C35" s="56"/>
      <c r="D35" s="56"/>
      <c r="E35" s="28"/>
      <c r="F35" s="28"/>
      <c r="G35" s="28"/>
    </row>
    <row r="36" spans="1:7">
      <c r="A36" s="21"/>
      <c r="B36" s="57"/>
      <c r="C36" s="56"/>
      <c r="D36" s="56"/>
      <c r="E36" s="28"/>
      <c r="F36" s="28"/>
      <c r="G36" s="28"/>
    </row>
    <row r="37" spans="1:7">
      <c r="B37" s="56"/>
      <c r="C37" s="56"/>
      <c r="D37" s="56"/>
      <c r="E37" s="21" t="s">
        <v>116</v>
      </c>
      <c r="F37" s="21"/>
      <c r="G37" s="21"/>
    </row>
    <row r="38" spans="1:7">
      <c r="A38" s="21" t="s">
        <v>117</v>
      </c>
      <c r="B38" s="8"/>
      <c r="C38" s="8"/>
      <c r="D38" s="21"/>
      <c r="E38" s="21"/>
      <c r="F38" s="21"/>
      <c r="G38" s="21"/>
    </row>
    <row r="39" spans="1:7" ht="36" customHeight="1">
      <c r="A39" s="21"/>
      <c r="B39" s="146"/>
      <c r="C39" s="146"/>
      <c r="D39" s="146"/>
      <c r="E39" s="146"/>
      <c r="F39" s="146"/>
      <c r="G39" s="146"/>
    </row>
    <row r="40" spans="1:7">
      <c r="A40" s="8"/>
      <c r="B40" s="8"/>
      <c r="C40" s="8"/>
      <c r="D40" s="8"/>
      <c r="E40" s="8"/>
      <c r="F40" s="8"/>
      <c r="G40" s="8"/>
    </row>
    <row r="41" spans="1:7">
      <c r="A41" s="198"/>
      <c r="B41" s="198"/>
      <c r="C41" s="198"/>
      <c r="D41" s="198"/>
      <c r="E41" s="198"/>
      <c r="F41" s="198"/>
      <c r="G41" s="198"/>
    </row>
    <row r="45" spans="1:7">
      <c r="E45" s="32" t="s">
        <v>118</v>
      </c>
      <c r="F45" s="32"/>
    </row>
  </sheetData>
  <mergeCells count="31">
    <mergeCell ref="A33:B33"/>
    <mergeCell ref="B39:G39"/>
    <mergeCell ref="A41:G41"/>
    <mergeCell ref="A2:G6"/>
    <mergeCell ref="C12:G23"/>
    <mergeCell ref="F30:G30"/>
    <mergeCell ref="D31:E31"/>
    <mergeCell ref="F31:G31"/>
    <mergeCell ref="D32:E32"/>
    <mergeCell ref="F32:G32"/>
    <mergeCell ref="A19:B19"/>
    <mergeCell ref="B24:C24"/>
    <mergeCell ref="D26:E26"/>
    <mergeCell ref="D27:E27"/>
    <mergeCell ref="D30:E30"/>
    <mergeCell ref="A14:B14"/>
    <mergeCell ref="A15:B15"/>
    <mergeCell ref="A16:B16"/>
    <mergeCell ref="A17:B17"/>
    <mergeCell ref="A18:B18"/>
    <mergeCell ref="A10:B10"/>
    <mergeCell ref="C10:G10"/>
    <mergeCell ref="C11:G11"/>
    <mergeCell ref="A12:B12"/>
    <mergeCell ref="A13:B13"/>
    <mergeCell ref="A7:B7"/>
    <mergeCell ref="C7:G7"/>
    <mergeCell ref="A8:B8"/>
    <mergeCell ref="C8:G8"/>
    <mergeCell ref="A9:B9"/>
    <mergeCell ref="C9:G9"/>
  </mergeCells>
  <phoneticPr fontId="25" type="noConversion"/>
  <printOptions horizontalCentered="1"/>
  <pageMargins left="0.47244094488188998" right="0.47244094488188998" top="0.74803149606299202" bottom="0.74803149606299202" header="0.31496062992126" footer="0.31496062992126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2:G50"/>
  <sheetViews>
    <sheetView workbookViewId="0">
      <selection activeCell="C12" sqref="A12:G27"/>
    </sheetView>
  </sheetViews>
  <sheetFormatPr defaultColWidth="9" defaultRowHeight="15.6"/>
  <cols>
    <col min="1" max="1" width="22.69921875" customWidth="1"/>
    <col min="2" max="2" width="24.5" customWidth="1"/>
    <col min="3" max="3" width="9" customWidth="1"/>
    <col min="4" max="4" width="11.59765625" customWidth="1"/>
    <col min="5" max="5" width="14.09765625" customWidth="1"/>
    <col min="6" max="6" width="11.59765625" customWidth="1"/>
    <col min="7" max="7" width="12.69921875" customWidth="1"/>
  </cols>
  <sheetData>
    <row r="2" spans="1:7">
      <c r="A2" s="157" t="s">
        <v>0</v>
      </c>
      <c r="B2" s="157"/>
      <c r="C2" s="157"/>
      <c r="D2" s="157"/>
      <c r="E2" s="157"/>
      <c r="F2" s="157"/>
      <c r="G2" s="8"/>
    </row>
    <row r="3" spans="1:7">
      <c r="A3" s="157"/>
      <c r="B3" s="157"/>
      <c r="C3" s="157"/>
      <c r="D3" s="157"/>
      <c r="E3" s="157"/>
      <c r="F3" s="157"/>
      <c r="G3" s="8"/>
    </row>
    <row r="4" spans="1:7">
      <c r="A4" s="157"/>
      <c r="B4" s="157"/>
      <c r="C4" s="157"/>
      <c r="D4" s="157"/>
      <c r="E4" s="157"/>
      <c r="F4" s="157"/>
      <c r="G4" s="8"/>
    </row>
    <row r="5" spans="1:7">
      <c r="A5" s="157"/>
      <c r="B5" s="157"/>
      <c r="C5" s="157"/>
      <c r="D5" s="157"/>
      <c r="E5" s="157"/>
      <c r="F5" s="157"/>
      <c r="G5" s="1"/>
    </row>
    <row r="6" spans="1:7" ht="15.75" customHeight="1">
      <c r="A6" s="157"/>
      <c r="B6" s="157"/>
      <c r="C6" s="157"/>
      <c r="D6" s="157"/>
      <c r="E6" s="157"/>
      <c r="F6" s="157"/>
    </row>
    <row r="7" spans="1:7" ht="2.25" customHeight="1">
      <c r="A7" s="157"/>
      <c r="B7" s="157"/>
      <c r="C7" s="157"/>
      <c r="D7" s="157"/>
      <c r="E7" s="157"/>
      <c r="F7" s="157"/>
    </row>
    <row r="8" spans="1:7" ht="13.5" hidden="1" customHeight="1">
      <c r="A8" s="157"/>
      <c r="B8" s="157"/>
      <c r="C8" s="157"/>
      <c r="D8" s="157"/>
      <c r="E8" s="157"/>
      <c r="F8" s="157"/>
    </row>
    <row r="9" spans="1:7" ht="17.25" hidden="1" customHeight="1">
      <c r="A9" s="157"/>
      <c r="B9" s="157"/>
      <c r="C9" s="157"/>
      <c r="D9" s="157"/>
      <c r="E9" s="157"/>
      <c r="F9" s="157"/>
    </row>
    <row r="10" spans="1:7" ht="13.5" customHeight="1">
      <c r="A10" s="146"/>
      <c r="B10" s="147"/>
      <c r="C10" s="4"/>
    </row>
    <row r="11" spans="1:7" ht="15" customHeight="1">
      <c r="A11" s="177" t="s">
        <v>1</v>
      </c>
      <c r="B11" s="177"/>
      <c r="C11" s="133" t="s">
        <v>2</v>
      </c>
      <c r="D11" s="131"/>
      <c r="E11" s="131"/>
      <c r="F11" s="131"/>
    </row>
    <row r="12" spans="1:7" ht="12" customHeight="1">
      <c r="A12" s="178" t="s">
        <v>3</v>
      </c>
      <c r="B12" s="178"/>
      <c r="C12" s="144" t="s">
        <v>119</v>
      </c>
      <c r="D12" s="145"/>
      <c r="E12" s="145"/>
      <c r="F12" s="145"/>
    </row>
    <row r="13" spans="1:7" ht="14.25" customHeight="1">
      <c r="A13" s="178" t="s">
        <v>5</v>
      </c>
      <c r="B13" s="178"/>
      <c r="C13" s="137" t="s">
        <v>86</v>
      </c>
      <c r="D13" s="138"/>
      <c r="E13" s="138"/>
      <c r="F13" s="138"/>
    </row>
    <row r="14" spans="1:7" ht="17.25" customHeight="1">
      <c r="A14" s="179" t="s">
        <v>7</v>
      </c>
      <c r="B14" s="179"/>
      <c r="C14" s="139"/>
      <c r="D14" s="134"/>
      <c r="E14" s="134"/>
      <c r="F14" s="134"/>
    </row>
    <row r="15" spans="1:7" ht="15" customHeight="1">
      <c r="A15" s="45" t="s">
        <v>10</v>
      </c>
      <c r="B15" s="45"/>
      <c r="C15" s="133" t="s">
        <v>9</v>
      </c>
      <c r="D15" s="131"/>
      <c r="E15" s="143"/>
      <c r="F15" s="143"/>
    </row>
    <row r="16" spans="1:7" ht="14.25" customHeight="1">
      <c r="A16" s="146" t="s">
        <v>120</v>
      </c>
      <c r="B16" s="146"/>
      <c r="C16" s="144" t="s">
        <v>121</v>
      </c>
      <c r="D16" s="145"/>
      <c r="E16" s="145"/>
      <c r="F16" s="145"/>
    </row>
    <row r="17" spans="1:6" ht="14.25" customHeight="1">
      <c r="A17" s="146" t="s">
        <v>122</v>
      </c>
      <c r="B17" s="146"/>
      <c r="C17" s="184" t="s">
        <v>89</v>
      </c>
      <c r="D17" s="185"/>
      <c r="E17" s="185"/>
      <c r="F17" s="185"/>
    </row>
    <row r="18" spans="1:6" ht="14.25" customHeight="1">
      <c r="A18" s="8" t="s">
        <v>123</v>
      </c>
      <c r="B18" s="8"/>
      <c r="C18" s="184"/>
      <c r="D18" s="185"/>
      <c r="E18" s="185"/>
      <c r="F18" s="185"/>
    </row>
    <row r="19" spans="1:6" ht="6.75" customHeight="1">
      <c r="A19" s="180"/>
      <c r="B19" s="180"/>
      <c r="C19" s="184"/>
      <c r="D19" s="185"/>
      <c r="E19" s="185"/>
      <c r="F19" s="185"/>
    </row>
    <row r="20" spans="1:6" ht="14.25" customHeight="1">
      <c r="A20" s="177" t="s">
        <v>16</v>
      </c>
      <c r="B20" s="177"/>
      <c r="C20" s="184"/>
      <c r="D20" s="185"/>
      <c r="E20" s="185"/>
      <c r="F20" s="185"/>
    </row>
    <row r="21" spans="1:6" ht="14.25" customHeight="1">
      <c r="A21" s="180" t="s">
        <v>120</v>
      </c>
      <c r="B21" s="180"/>
      <c r="C21" s="184"/>
      <c r="D21" s="185"/>
      <c r="E21" s="185"/>
      <c r="F21" s="185"/>
    </row>
    <row r="22" spans="1:6" ht="14.25" customHeight="1">
      <c r="A22" s="146" t="s">
        <v>122</v>
      </c>
      <c r="B22" s="146"/>
      <c r="C22" s="184"/>
      <c r="D22" s="185"/>
      <c r="E22" s="185"/>
      <c r="F22" s="185"/>
    </row>
    <row r="23" spans="1:6" ht="14.25" customHeight="1">
      <c r="A23" s="180" t="s">
        <v>124</v>
      </c>
      <c r="B23" s="181"/>
      <c r="C23" s="184"/>
      <c r="D23" s="185"/>
      <c r="E23" s="185"/>
      <c r="F23" s="185"/>
    </row>
    <row r="24" spans="1:6">
      <c r="A24" s="9" t="s">
        <v>18</v>
      </c>
      <c r="B24" s="10" t="s">
        <v>19</v>
      </c>
      <c r="C24" s="184"/>
      <c r="D24" s="185"/>
      <c r="E24" s="185"/>
      <c r="F24" s="185"/>
    </row>
    <row r="25" spans="1:6" ht="21.75" customHeight="1">
      <c r="A25" s="11" t="s">
        <v>90</v>
      </c>
      <c r="B25" s="12" t="s">
        <v>91</v>
      </c>
      <c r="C25" s="184"/>
      <c r="D25" s="185"/>
      <c r="E25" s="185"/>
      <c r="F25" s="185"/>
    </row>
    <row r="26" spans="1:6" ht="16.5" customHeight="1">
      <c r="A26" s="9" t="s">
        <v>22</v>
      </c>
      <c r="B26" s="10" t="s">
        <v>23</v>
      </c>
      <c r="C26" s="184"/>
      <c r="D26" s="185"/>
      <c r="E26" s="185"/>
      <c r="F26" s="185"/>
    </row>
    <row r="27" spans="1:6">
      <c r="A27" s="11" t="s">
        <v>104</v>
      </c>
      <c r="B27" s="12" t="s">
        <v>105</v>
      </c>
      <c r="C27" s="186"/>
      <c r="D27" s="187"/>
      <c r="E27" s="187"/>
      <c r="F27" s="187"/>
    </row>
    <row r="28" spans="1:6" ht="14.25" customHeight="1">
      <c r="A28" s="13" t="s">
        <v>26</v>
      </c>
      <c r="B28" s="182" t="s">
        <v>27</v>
      </c>
      <c r="C28" s="183"/>
      <c r="D28" s="34" t="s">
        <v>28</v>
      </c>
      <c r="E28" s="14" t="s">
        <v>29</v>
      </c>
      <c r="F28" s="17" t="s">
        <v>30</v>
      </c>
    </row>
    <row r="29" spans="1:6" ht="12" customHeight="1">
      <c r="A29" s="6"/>
      <c r="B29" s="28"/>
      <c r="C29" s="28"/>
      <c r="D29" s="28" t="s">
        <v>31</v>
      </c>
      <c r="E29" s="28" t="s">
        <v>32</v>
      </c>
      <c r="F29" s="35" t="s">
        <v>33</v>
      </c>
    </row>
    <row r="30" spans="1:6" ht="6" customHeight="1">
      <c r="A30" s="152"/>
      <c r="B30" s="152"/>
      <c r="C30" s="152"/>
      <c r="D30" s="152"/>
      <c r="E30" s="152"/>
      <c r="F30" s="152"/>
    </row>
    <row r="31" spans="1:6" ht="15.75" customHeight="1">
      <c r="A31" s="6"/>
      <c r="B31" s="6"/>
      <c r="C31" s="6"/>
      <c r="D31" s="6" t="s">
        <v>93</v>
      </c>
      <c r="E31" s="153" t="s">
        <v>125</v>
      </c>
      <c r="F31" s="153"/>
    </row>
    <row r="32" spans="1:6" ht="11.25" customHeight="1">
      <c r="A32" s="27"/>
      <c r="B32" s="153"/>
      <c r="C32" s="153"/>
      <c r="D32" s="6"/>
    </row>
    <row r="33" spans="1:7" ht="15" customHeight="1">
      <c r="A33" s="36" t="s">
        <v>95</v>
      </c>
      <c r="B33" s="7" t="s">
        <v>96</v>
      </c>
      <c r="C33" s="22"/>
      <c r="D33" s="38">
        <v>4.32</v>
      </c>
      <c r="E33" s="38">
        <v>5600</v>
      </c>
      <c r="F33" s="38">
        <f>D33*E33</f>
        <v>24192</v>
      </c>
      <c r="G33" s="39"/>
    </row>
    <row r="34" spans="1:7" ht="15" customHeight="1">
      <c r="A34" s="27"/>
      <c r="B34" s="21" t="s">
        <v>97</v>
      </c>
      <c r="C34" s="21"/>
      <c r="D34" s="21"/>
      <c r="E34" s="40"/>
      <c r="F34" s="40"/>
    </row>
    <row r="35" spans="1:7" ht="15" customHeight="1">
      <c r="A35" s="27"/>
      <c r="B35" s="21" t="s">
        <v>98</v>
      </c>
      <c r="C35" s="21"/>
      <c r="D35" s="21"/>
      <c r="E35" s="40"/>
      <c r="F35" s="40"/>
    </row>
    <row r="36" spans="1:7" ht="15" customHeight="1">
      <c r="A36" s="27"/>
      <c r="B36" s="153" t="s">
        <v>99</v>
      </c>
      <c r="C36" s="153"/>
      <c r="D36" s="153"/>
      <c r="E36" s="153"/>
      <c r="F36" s="153"/>
    </row>
    <row r="37" spans="1:7" ht="15" customHeight="1">
      <c r="A37" s="27"/>
      <c r="B37" s="27"/>
      <c r="C37" s="27"/>
      <c r="D37" s="26"/>
      <c r="E37" s="41"/>
      <c r="F37" s="26"/>
    </row>
    <row r="38" spans="1:7" ht="15" customHeight="1">
      <c r="A38" s="27"/>
      <c r="B38" s="27"/>
      <c r="C38" s="27"/>
      <c r="D38" s="26"/>
      <c r="E38" s="41"/>
      <c r="F38" s="26"/>
    </row>
    <row r="39" spans="1:7" ht="15" customHeight="1">
      <c r="A39" s="153"/>
      <c r="B39" s="153"/>
      <c r="C39" s="7"/>
      <c r="D39" s="28"/>
      <c r="E39" s="21"/>
      <c r="F39" s="21"/>
    </row>
    <row r="40" spans="1:7" ht="15" customHeight="1">
      <c r="A40" s="156"/>
      <c r="B40" s="156"/>
      <c r="C40" s="29"/>
      <c r="D40" s="29"/>
      <c r="E40" s="30"/>
      <c r="F40" s="30"/>
    </row>
    <row r="41" spans="1:7" ht="15" customHeight="1">
      <c r="A41" s="21"/>
      <c r="B41" s="28" t="s">
        <v>37</v>
      </c>
      <c r="C41" s="28"/>
      <c r="D41" s="42" t="s">
        <v>100</v>
      </c>
      <c r="E41" s="28" t="s">
        <v>126</v>
      </c>
      <c r="F41" s="65">
        <f>F33</f>
        <v>24192</v>
      </c>
    </row>
    <row r="42" spans="1:7" ht="15" customHeight="1">
      <c r="A42" s="21"/>
      <c r="B42" s="28"/>
      <c r="C42" s="28"/>
      <c r="D42" s="28"/>
      <c r="E42" s="28"/>
      <c r="F42" s="28"/>
    </row>
    <row r="43" spans="1:7" ht="21.75" customHeight="1">
      <c r="A43" s="21"/>
      <c r="B43" s="28"/>
      <c r="C43" s="28"/>
      <c r="D43" s="28"/>
      <c r="E43" s="28"/>
      <c r="F43" s="21"/>
    </row>
    <row r="44" spans="1:7">
      <c r="A44" s="152"/>
      <c r="B44" s="152"/>
      <c r="C44" s="152"/>
      <c r="D44" s="152"/>
      <c r="E44" s="152"/>
      <c r="F44" s="152"/>
    </row>
    <row r="45" spans="1:7">
      <c r="A45" s="43"/>
    </row>
    <row r="50" spans="5:5">
      <c r="E50" s="44" t="s">
        <v>38</v>
      </c>
    </row>
  </sheetData>
  <mergeCells count="28">
    <mergeCell ref="A44:F44"/>
    <mergeCell ref="A2:F9"/>
    <mergeCell ref="C17:F27"/>
    <mergeCell ref="E31:F31"/>
    <mergeCell ref="B32:C32"/>
    <mergeCell ref="B36:F36"/>
    <mergeCell ref="A39:B39"/>
    <mergeCell ref="A40:B40"/>
    <mergeCell ref="A21:B21"/>
    <mergeCell ref="A22:B22"/>
    <mergeCell ref="A23:B23"/>
    <mergeCell ref="B28:C28"/>
    <mergeCell ref="A30:F30"/>
    <mergeCell ref="A16:B16"/>
    <mergeCell ref="C16:F16"/>
    <mergeCell ref="A17:B17"/>
    <mergeCell ref="A19:B19"/>
    <mergeCell ref="A20:B20"/>
    <mergeCell ref="A13:B13"/>
    <mergeCell ref="C13:F13"/>
    <mergeCell ref="A14:B14"/>
    <mergeCell ref="C14:F14"/>
    <mergeCell ref="C15:F15"/>
    <mergeCell ref="A10:B10"/>
    <mergeCell ref="A11:B11"/>
    <mergeCell ref="C11:F11"/>
    <mergeCell ref="A12:B12"/>
    <mergeCell ref="C12:F12"/>
  </mergeCells>
  <phoneticPr fontId="25" type="noConversion"/>
  <pageMargins left="0.70866141732283505" right="0.70866141732283505" top="0.74803149606299202" bottom="0.74803149606299202" header="0.31496062992126" footer="0.31496062992126"/>
  <pageSetup paperSize="9" scale="8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2:G45"/>
  <sheetViews>
    <sheetView topLeftCell="A31" workbookViewId="0">
      <selection activeCell="C12" sqref="A12:G27"/>
    </sheetView>
  </sheetViews>
  <sheetFormatPr defaultColWidth="9" defaultRowHeight="12"/>
  <cols>
    <col min="1" max="1" width="21.19921875" style="1" customWidth="1"/>
    <col min="2" max="2" width="19.19921875" style="1" customWidth="1"/>
    <col min="3" max="3" width="5.69921875" style="1" customWidth="1"/>
    <col min="4" max="4" width="7.796875" style="1" customWidth="1"/>
    <col min="5" max="5" width="9.8984375" style="1" customWidth="1"/>
    <col min="6" max="6" width="8.8984375" style="1" customWidth="1"/>
    <col min="7" max="7" width="11.59765625" style="1" customWidth="1"/>
    <col min="8" max="16384" width="9" style="1"/>
  </cols>
  <sheetData>
    <row r="2" spans="1:7" ht="14.25" customHeight="1">
      <c r="A2" s="157" t="s">
        <v>39</v>
      </c>
      <c r="B2" s="157"/>
      <c r="C2" s="157"/>
      <c r="D2" s="157"/>
      <c r="E2" s="157"/>
      <c r="F2" s="157"/>
      <c r="G2" s="157"/>
    </row>
    <row r="3" spans="1:7" ht="14.25" customHeight="1">
      <c r="A3" s="157"/>
      <c r="B3" s="157"/>
      <c r="C3" s="157"/>
      <c r="D3" s="157"/>
      <c r="E3" s="157"/>
      <c r="F3" s="157"/>
      <c r="G3" s="157"/>
    </row>
    <row r="4" spans="1:7" ht="14.25" customHeight="1">
      <c r="A4" s="157"/>
      <c r="B4" s="157"/>
      <c r="C4" s="157"/>
      <c r="D4" s="157"/>
      <c r="E4" s="157"/>
      <c r="F4" s="157"/>
      <c r="G4" s="157"/>
    </row>
    <row r="5" spans="1:7" ht="12" customHeight="1">
      <c r="A5" s="157"/>
      <c r="B5" s="157"/>
      <c r="C5" s="157"/>
      <c r="D5" s="157"/>
      <c r="E5" s="157"/>
      <c r="F5" s="157"/>
      <c r="G5" s="157"/>
    </row>
    <row r="6" spans="1:7" ht="17.399999999999999" customHeight="1">
      <c r="A6" s="172"/>
      <c r="B6" s="172"/>
      <c r="C6" s="172"/>
      <c r="D6" s="172"/>
      <c r="E6" s="172"/>
      <c r="F6" s="172"/>
      <c r="G6" s="172"/>
    </row>
    <row r="7" spans="1:7" customFormat="1" ht="17.399999999999999" customHeight="1">
      <c r="A7" s="177" t="s">
        <v>1</v>
      </c>
      <c r="B7" s="177"/>
      <c r="C7" s="188" t="s">
        <v>2</v>
      </c>
      <c r="D7" s="189"/>
      <c r="E7" s="189"/>
      <c r="F7" s="189"/>
      <c r="G7" s="189"/>
    </row>
    <row r="8" spans="1:7" customFormat="1" ht="17.399999999999999" customHeight="1">
      <c r="A8" s="178" t="s">
        <v>3</v>
      </c>
      <c r="B8" s="178"/>
      <c r="C8" s="190" t="s">
        <v>102</v>
      </c>
      <c r="D8" s="180"/>
      <c r="E8" s="180"/>
      <c r="F8" s="180"/>
      <c r="G8" s="180"/>
    </row>
    <row r="9" spans="1:7" customFormat="1" ht="17.399999999999999" customHeight="1">
      <c r="A9" s="178" t="s">
        <v>5</v>
      </c>
      <c r="B9" s="178"/>
      <c r="C9" s="190"/>
      <c r="D9" s="180"/>
      <c r="E9" s="180"/>
      <c r="F9" s="180"/>
      <c r="G9" s="180"/>
    </row>
    <row r="10" spans="1:7" customFormat="1" ht="17.399999999999999" customHeight="1">
      <c r="A10" s="179" t="s">
        <v>7</v>
      </c>
      <c r="B10" s="179"/>
      <c r="C10" s="191"/>
      <c r="D10" s="192"/>
      <c r="E10" s="192"/>
      <c r="F10" s="192"/>
      <c r="G10" s="192"/>
    </row>
    <row r="11" spans="1:7" customFormat="1" ht="17.399999999999999" customHeight="1">
      <c r="A11" s="45" t="s">
        <v>10</v>
      </c>
      <c r="B11" s="45"/>
      <c r="C11" s="193"/>
      <c r="D11" s="194"/>
      <c r="E11" s="194"/>
      <c r="F11" s="194"/>
      <c r="G11" s="194"/>
    </row>
    <row r="12" spans="1:7" customFormat="1" ht="17.399999999999999" customHeight="1">
      <c r="A12" s="146" t="s">
        <v>120</v>
      </c>
      <c r="B12" s="146"/>
      <c r="C12" s="199" t="s">
        <v>103</v>
      </c>
      <c r="D12" s="153"/>
      <c r="E12" s="153"/>
      <c r="F12" s="153"/>
      <c r="G12" s="153"/>
    </row>
    <row r="13" spans="1:7" customFormat="1" ht="17.399999999999999" customHeight="1">
      <c r="A13" s="146" t="s">
        <v>127</v>
      </c>
      <c r="B13" s="146"/>
      <c r="C13" s="199"/>
      <c r="D13" s="153"/>
      <c r="E13" s="153"/>
      <c r="F13" s="153"/>
      <c r="G13" s="153"/>
    </row>
    <row r="14" spans="1:7" customFormat="1" ht="17.399999999999999" customHeight="1">
      <c r="A14" s="180" t="s">
        <v>124</v>
      </c>
      <c r="B14" s="181"/>
      <c r="C14" s="199"/>
      <c r="D14" s="153"/>
      <c r="E14" s="153"/>
      <c r="F14" s="153"/>
      <c r="G14" s="153"/>
    </row>
    <row r="15" spans="1:7" customFormat="1" ht="17.399999999999999" customHeight="1">
      <c r="A15" s="180"/>
      <c r="B15" s="180"/>
      <c r="C15" s="199"/>
      <c r="D15" s="153"/>
      <c r="E15" s="153"/>
      <c r="F15" s="153"/>
      <c r="G15" s="153"/>
    </row>
    <row r="16" spans="1:7" customFormat="1" ht="17.399999999999999" customHeight="1">
      <c r="A16" s="177" t="s">
        <v>16</v>
      </c>
      <c r="B16" s="177"/>
      <c r="C16" s="161"/>
      <c r="D16" s="153"/>
      <c r="E16" s="153"/>
      <c r="F16" s="153"/>
      <c r="G16" s="153"/>
    </row>
    <row r="17" spans="1:7" customFormat="1" ht="17.399999999999999" customHeight="1">
      <c r="A17" s="180" t="s">
        <v>120</v>
      </c>
      <c r="B17" s="180"/>
      <c r="C17" s="161"/>
      <c r="D17" s="153"/>
      <c r="E17" s="153"/>
      <c r="F17" s="153"/>
      <c r="G17" s="153"/>
    </row>
    <row r="18" spans="1:7" customFormat="1" ht="18.45" customHeight="1">
      <c r="A18" s="146" t="s">
        <v>127</v>
      </c>
      <c r="B18" s="146"/>
      <c r="C18" s="199"/>
      <c r="D18" s="153"/>
      <c r="E18" s="153"/>
      <c r="F18" s="153"/>
      <c r="G18" s="153"/>
    </row>
    <row r="19" spans="1:7" customFormat="1" ht="17.399999999999999" customHeight="1">
      <c r="A19" s="180" t="s">
        <v>124</v>
      </c>
      <c r="B19" s="181"/>
      <c r="C19" s="199"/>
      <c r="D19" s="153"/>
      <c r="E19" s="153"/>
      <c r="F19" s="153"/>
      <c r="G19" s="153"/>
    </row>
    <row r="20" spans="1:7" customFormat="1" ht="17.399999999999999" customHeight="1">
      <c r="A20" s="9" t="s">
        <v>18</v>
      </c>
      <c r="B20" s="10" t="s">
        <v>19</v>
      </c>
      <c r="C20" s="199"/>
      <c r="D20" s="153"/>
      <c r="E20" s="153"/>
      <c r="F20" s="153"/>
      <c r="G20" s="153"/>
    </row>
    <row r="21" spans="1:7" customFormat="1" ht="17.399999999999999" customHeight="1">
      <c r="A21" s="11" t="s">
        <v>90</v>
      </c>
      <c r="B21" s="12" t="s">
        <v>91</v>
      </c>
      <c r="C21" s="199"/>
      <c r="D21" s="153"/>
      <c r="E21" s="153"/>
      <c r="F21" s="153"/>
      <c r="G21" s="153"/>
    </row>
    <row r="22" spans="1:7" customFormat="1" ht="17.399999999999999" customHeight="1">
      <c r="A22" s="9" t="s">
        <v>22</v>
      </c>
      <c r="B22" s="10" t="s">
        <v>23</v>
      </c>
      <c r="C22" s="199"/>
      <c r="D22" s="153"/>
      <c r="E22" s="153"/>
      <c r="F22" s="153"/>
      <c r="G22" s="153"/>
    </row>
    <row r="23" spans="1:7" customFormat="1" ht="15" customHeight="1">
      <c r="A23" s="11" t="s">
        <v>104</v>
      </c>
      <c r="B23" s="12" t="s">
        <v>105</v>
      </c>
      <c r="C23" s="200"/>
      <c r="D23" s="201"/>
      <c r="E23" s="201"/>
      <c r="F23" s="201"/>
      <c r="G23" s="201"/>
    </row>
    <row r="24" spans="1:7" customFormat="1" ht="22.95" customHeight="1">
      <c r="A24" s="46" t="s">
        <v>26</v>
      </c>
      <c r="B24" s="195" t="s">
        <v>27</v>
      </c>
      <c r="C24" s="196"/>
      <c r="D24" s="47" t="s">
        <v>106</v>
      </c>
      <c r="E24" s="48" t="s">
        <v>107</v>
      </c>
      <c r="F24" s="49" t="s">
        <v>108</v>
      </c>
      <c r="G24" s="50" t="s">
        <v>109</v>
      </c>
    </row>
    <row r="25" spans="1:7" customFormat="1" ht="17.399999999999999" customHeight="1">
      <c r="A25" s="4"/>
      <c r="B25" s="19"/>
      <c r="C25" s="19"/>
      <c r="D25" s="20"/>
      <c r="E25" s="19"/>
      <c r="F25" s="19"/>
      <c r="G25" s="20"/>
    </row>
    <row r="26" spans="1:7" ht="11.25" customHeight="1">
      <c r="A26"/>
      <c r="B26" s="7" t="s">
        <v>110</v>
      </c>
      <c r="C26" s="68"/>
      <c r="D26" s="166"/>
      <c r="E26" s="166"/>
      <c r="F26" s="69"/>
      <c r="G26" s="69"/>
    </row>
    <row r="27" spans="1:7" ht="12" customHeight="1">
      <c r="A27" s="21" t="s">
        <v>34</v>
      </c>
      <c r="B27" s="21" t="s">
        <v>111</v>
      </c>
      <c r="C27" s="26"/>
      <c r="D27" s="158"/>
      <c r="E27" s="158"/>
      <c r="F27" s="24"/>
      <c r="G27" s="24"/>
    </row>
    <row r="28" spans="1:7" ht="12" customHeight="1">
      <c r="A28" s="27"/>
      <c r="B28" s="22"/>
      <c r="C28" s="28"/>
      <c r="D28" s="21"/>
      <c r="E28" s="21"/>
      <c r="F28" s="21"/>
      <c r="G28" s="21"/>
    </row>
    <row r="29" spans="1:7" ht="11.25" customHeight="1">
      <c r="A29" s="27"/>
      <c r="B29" s="21"/>
      <c r="C29" s="21"/>
      <c r="D29" s="21"/>
      <c r="E29" s="21"/>
      <c r="F29" s="21"/>
      <c r="G29" s="21"/>
    </row>
    <row r="30" spans="1:7" ht="11.25" customHeight="1">
      <c r="A30" s="21"/>
      <c r="B30" s="56"/>
      <c r="C30" s="76"/>
      <c r="D30" s="197"/>
      <c r="E30" s="197"/>
      <c r="F30" s="197"/>
      <c r="G30" s="197"/>
    </row>
    <row r="31" spans="1:7" ht="11.25" customHeight="1">
      <c r="A31" s="21"/>
      <c r="B31" s="57"/>
      <c r="C31" s="76"/>
      <c r="D31" s="197"/>
      <c r="E31" s="197"/>
      <c r="F31" s="197"/>
      <c r="G31" s="197"/>
    </row>
    <row r="32" spans="1:7" ht="11.25" customHeight="1">
      <c r="A32" s="21"/>
      <c r="B32" s="56"/>
      <c r="C32" s="76"/>
      <c r="D32" s="197"/>
      <c r="E32" s="197"/>
      <c r="F32" s="197"/>
      <c r="G32" s="197"/>
    </row>
    <row r="33" spans="1:7" ht="11.25" customHeight="1">
      <c r="A33" s="156"/>
      <c r="B33" s="156"/>
      <c r="C33" s="29"/>
      <c r="D33" s="30"/>
      <c r="E33" s="30"/>
      <c r="F33" s="30"/>
      <c r="G33" s="21"/>
    </row>
    <row r="34" spans="1:7" ht="11.7" customHeight="1">
      <c r="A34" s="27"/>
      <c r="B34" s="27" t="s">
        <v>37</v>
      </c>
      <c r="C34" s="27" t="s">
        <v>112</v>
      </c>
      <c r="D34" s="27" t="s">
        <v>112</v>
      </c>
      <c r="E34" s="107" t="s">
        <v>113</v>
      </c>
      <c r="F34" s="77" t="s">
        <v>114</v>
      </c>
      <c r="G34" s="78" t="s">
        <v>115</v>
      </c>
    </row>
    <row r="35" spans="1:7">
      <c r="A35" s="21"/>
      <c r="C35" s="56"/>
      <c r="D35" s="56"/>
      <c r="E35" s="28"/>
      <c r="F35" s="28"/>
      <c r="G35" s="28"/>
    </row>
    <row r="36" spans="1:7">
      <c r="A36" s="21"/>
      <c r="B36" s="57"/>
      <c r="C36" s="56"/>
      <c r="D36" s="56"/>
      <c r="E36" s="28"/>
      <c r="F36" s="28"/>
      <c r="G36" s="28"/>
    </row>
    <row r="37" spans="1:7">
      <c r="B37" s="56"/>
      <c r="C37" s="56"/>
      <c r="D37" s="56"/>
      <c r="E37" s="21" t="s">
        <v>116</v>
      </c>
      <c r="F37" s="21"/>
      <c r="G37" s="21"/>
    </row>
    <row r="38" spans="1:7">
      <c r="A38" s="21" t="s">
        <v>117</v>
      </c>
      <c r="B38" s="8"/>
      <c r="C38" s="8"/>
      <c r="D38" s="21"/>
      <c r="E38" s="21"/>
      <c r="F38" s="21"/>
      <c r="G38" s="21"/>
    </row>
    <row r="39" spans="1:7" ht="36" customHeight="1">
      <c r="A39" s="21"/>
      <c r="B39" s="146"/>
      <c r="C39" s="146"/>
      <c r="D39" s="146"/>
      <c r="E39" s="146"/>
      <c r="F39" s="146"/>
      <c r="G39" s="146"/>
    </row>
    <row r="40" spans="1:7">
      <c r="A40" s="8"/>
      <c r="B40" s="8"/>
      <c r="C40" s="8"/>
      <c r="D40" s="8"/>
      <c r="E40" s="8"/>
      <c r="F40" s="8"/>
      <c r="G40" s="8"/>
    </row>
    <row r="41" spans="1:7">
      <c r="A41" s="198"/>
      <c r="B41" s="198"/>
      <c r="C41" s="198"/>
      <c r="D41" s="198"/>
      <c r="E41" s="198"/>
      <c r="F41" s="198"/>
      <c r="G41" s="198"/>
    </row>
    <row r="45" spans="1:7">
      <c r="E45" s="32" t="s">
        <v>118</v>
      </c>
      <c r="F45" s="32"/>
    </row>
  </sheetData>
  <mergeCells count="31">
    <mergeCell ref="A33:B33"/>
    <mergeCell ref="B39:G39"/>
    <mergeCell ref="A41:G41"/>
    <mergeCell ref="A2:G6"/>
    <mergeCell ref="C12:G23"/>
    <mergeCell ref="F30:G30"/>
    <mergeCell ref="D31:E31"/>
    <mergeCell ref="F31:G31"/>
    <mergeCell ref="D32:E32"/>
    <mergeCell ref="F32:G32"/>
    <mergeCell ref="A19:B19"/>
    <mergeCell ref="B24:C24"/>
    <mergeCell ref="D26:E26"/>
    <mergeCell ref="D27:E27"/>
    <mergeCell ref="D30:E30"/>
    <mergeCell ref="A14:B14"/>
    <mergeCell ref="A15:B15"/>
    <mergeCell ref="A16:B16"/>
    <mergeCell ref="A17:B17"/>
    <mergeCell ref="A18:B18"/>
    <mergeCell ref="A10:B10"/>
    <mergeCell ref="C10:G10"/>
    <mergeCell ref="C11:G11"/>
    <mergeCell ref="A12:B12"/>
    <mergeCell ref="A13:B13"/>
    <mergeCell ref="A7:B7"/>
    <mergeCell ref="C7:G7"/>
    <mergeCell ref="A8:B8"/>
    <mergeCell ref="C8:G8"/>
    <mergeCell ref="A9:B9"/>
    <mergeCell ref="C9:G9"/>
  </mergeCells>
  <phoneticPr fontId="25" type="noConversion"/>
  <printOptions horizontalCentered="1"/>
  <pageMargins left="0.47244094488188998" right="0.47244094488188998" top="0.74803149606299202" bottom="0.74803149606299202" header="0.31496062992126" footer="0.31496062992126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49"/>
  <sheetViews>
    <sheetView topLeftCell="A31" zoomScale="96" zoomScaleNormal="96" workbookViewId="0">
      <selection activeCell="D42" sqref="D42"/>
    </sheetView>
  </sheetViews>
  <sheetFormatPr defaultColWidth="9" defaultRowHeight="15.6"/>
  <cols>
    <col min="1" max="1" width="19.8984375" customWidth="1"/>
    <col min="2" max="2" width="19.3984375" customWidth="1"/>
    <col min="3" max="3" width="6.59765625" customWidth="1"/>
    <col min="4" max="4" width="10.09765625" customWidth="1"/>
    <col min="5" max="5" width="10.796875" customWidth="1"/>
    <col min="6" max="6" width="15.3984375" customWidth="1"/>
    <col min="7" max="7" width="3.796875" customWidth="1"/>
  </cols>
  <sheetData>
    <row r="2" spans="1:7">
      <c r="A2" s="157" t="s">
        <v>0</v>
      </c>
      <c r="B2" s="157"/>
      <c r="C2" s="157"/>
      <c r="D2" s="157"/>
      <c r="E2" s="157"/>
      <c r="F2" s="157"/>
      <c r="G2" s="8"/>
    </row>
    <row r="3" spans="1:7">
      <c r="A3" s="157"/>
      <c r="B3" s="157"/>
      <c r="C3" s="157"/>
      <c r="D3" s="157"/>
      <c r="E3" s="157"/>
      <c r="F3" s="157"/>
      <c r="G3" s="8"/>
    </row>
    <row r="4" spans="1:7">
      <c r="A4" s="157"/>
      <c r="B4" s="157"/>
      <c r="C4" s="157"/>
      <c r="D4" s="157"/>
      <c r="E4" s="157"/>
      <c r="F4" s="157"/>
      <c r="G4" s="8"/>
    </row>
    <row r="5" spans="1:7">
      <c r="A5" s="157"/>
      <c r="B5" s="157"/>
      <c r="C5" s="157"/>
      <c r="D5" s="157"/>
      <c r="E5" s="157"/>
      <c r="F5" s="157"/>
      <c r="G5" s="1"/>
    </row>
    <row r="6" spans="1:7" ht="15.75" customHeight="1">
      <c r="A6" s="157"/>
      <c r="B6" s="157"/>
      <c r="C6" s="157"/>
      <c r="D6" s="157"/>
      <c r="E6" s="157"/>
      <c r="F6" s="157"/>
    </row>
    <row r="7" spans="1:7" ht="2.25" customHeight="1">
      <c r="A7" s="157"/>
      <c r="B7" s="157"/>
      <c r="C7" s="157"/>
      <c r="D7" s="157"/>
      <c r="E7" s="157"/>
      <c r="F7" s="157"/>
    </row>
    <row r="8" spans="1:7" ht="13.5" hidden="1" customHeight="1">
      <c r="A8" s="157"/>
      <c r="B8" s="157"/>
      <c r="C8" s="157"/>
      <c r="D8" s="157"/>
      <c r="E8" s="157"/>
      <c r="F8" s="157"/>
    </row>
    <row r="9" spans="1:7" ht="17.25" hidden="1" customHeight="1">
      <c r="A9" s="157"/>
      <c r="B9" s="157"/>
      <c r="C9" s="157"/>
      <c r="D9" s="157"/>
      <c r="E9" s="157"/>
      <c r="F9" s="157"/>
    </row>
    <row r="10" spans="1:7" ht="13.5" customHeight="1">
      <c r="A10" s="146"/>
      <c r="B10" s="146"/>
      <c r="C10" s="5"/>
    </row>
    <row r="11" spans="1:7" ht="15" customHeight="1">
      <c r="A11" s="202" t="s">
        <v>1</v>
      </c>
      <c r="B11" s="203"/>
      <c r="C11" s="204" t="s">
        <v>2</v>
      </c>
      <c r="D11" s="205"/>
      <c r="E11" s="205"/>
      <c r="F11" s="205"/>
    </row>
    <row r="12" spans="1:7" ht="12" customHeight="1">
      <c r="A12" s="160" t="s">
        <v>3</v>
      </c>
      <c r="B12" s="206"/>
      <c r="C12" s="186" t="s">
        <v>128</v>
      </c>
      <c r="D12" s="187"/>
      <c r="E12" s="187"/>
      <c r="F12" s="187"/>
    </row>
    <row r="13" spans="1:7" ht="14.25" customHeight="1">
      <c r="A13" s="146" t="s">
        <v>40</v>
      </c>
      <c r="B13" s="147"/>
      <c r="C13" s="137" t="s">
        <v>86</v>
      </c>
      <c r="D13" s="138"/>
      <c r="E13" s="138"/>
      <c r="F13" s="138"/>
    </row>
    <row r="14" spans="1:7" ht="17.25" customHeight="1">
      <c r="A14" s="160" t="s">
        <v>41</v>
      </c>
      <c r="B14" s="206"/>
      <c r="C14" s="186"/>
      <c r="D14" s="187"/>
      <c r="E14" s="187"/>
      <c r="F14" s="187"/>
    </row>
    <row r="15" spans="1:7" ht="15" customHeight="1">
      <c r="A15" s="6" t="s">
        <v>10</v>
      </c>
      <c r="B15" s="6"/>
      <c r="C15" s="207" t="s">
        <v>129</v>
      </c>
      <c r="D15" s="208"/>
      <c r="E15" s="208"/>
      <c r="F15" s="208"/>
    </row>
    <row r="16" spans="1:7" ht="14.25" customHeight="1">
      <c r="A16" s="160" t="s">
        <v>120</v>
      </c>
      <c r="B16" s="206"/>
      <c r="C16" s="186" t="s">
        <v>130</v>
      </c>
      <c r="D16" s="187"/>
      <c r="E16" s="187"/>
      <c r="F16" s="187"/>
    </row>
    <row r="17" spans="1:6" ht="14.25" customHeight="1">
      <c r="A17" s="146" t="s">
        <v>131</v>
      </c>
      <c r="B17" s="147"/>
      <c r="C17" s="184" t="s">
        <v>89</v>
      </c>
      <c r="D17" s="185"/>
      <c r="E17" s="185"/>
      <c r="F17" s="185"/>
    </row>
    <row r="18" spans="1:6" ht="14.25" customHeight="1">
      <c r="A18" s="146" t="s">
        <v>124</v>
      </c>
      <c r="B18" s="147"/>
      <c r="C18" s="184"/>
      <c r="D18" s="185"/>
      <c r="E18" s="185"/>
      <c r="F18" s="185"/>
    </row>
    <row r="19" spans="1:6" ht="13.2" customHeight="1">
      <c r="A19" s="145"/>
      <c r="B19" s="209"/>
      <c r="C19" s="184"/>
      <c r="D19" s="185"/>
      <c r="E19" s="185"/>
      <c r="F19" s="185"/>
    </row>
    <row r="20" spans="1:6" ht="14.25" customHeight="1">
      <c r="A20" s="3" t="s">
        <v>16</v>
      </c>
      <c r="B20" s="9"/>
      <c r="C20" s="184"/>
      <c r="D20" s="185"/>
      <c r="E20" s="185"/>
      <c r="F20" s="185"/>
    </row>
    <row r="21" spans="1:6" ht="14.25" customHeight="1">
      <c r="A21" s="160" t="s">
        <v>120</v>
      </c>
      <c r="B21" s="206"/>
      <c r="C21" s="184"/>
      <c r="D21" s="185"/>
      <c r="E21" s="185"/>
      <c r="F21" s="185"/>
    </row>
    <row r="22" spans="1:6" ht="14.25" customHeight="1">
      <c r="A22" s="146" t="s">
        <v>131</v>
      </c>
      <c r="B22" s="147"/>
      <c r="C22" s="184"/>
      <c r="D22" s="185"/>
      <c r="E22" s="185"/>
      <c r="F22" s="185"/>
    </row>
    <row r="23" spans="1:6" ht="14.25" customHeight="1">
      <c r="A23" s="146" t="s">
        <v>124</v>
      </c>
      <c r="B23" s="147"/>
      <c r="C23" s="184"/>
      <c r="D23" s="185"/>
      <c r="E23" s="185"/>
      <c r="F23" s="185"/>
    </row>
    <row r="24" spans="1:6">
      <c r="A24" s="145"/>
      <c r="B24" s="209"/>
      <c r="C24" s="184"/>
      <c r="D24" s="185"/>
      <c r="E24" s="185"/>
      <c r="F24" s="185"/>
    </row>
    <row r="25" spans="1:6">
      <c r="A25" s="9" t="s">
        <v>18</v>
      </c>
      <c r="B25" s="10" t="s">
        <v>19</v>
      </c>
      <c r="C25" s="184"/>
      <c r="D25" s="185"/>
      <c r="E25" s="185"/>
      <c r="F25" s="185"/>
    </row>
    <row r="26" spans="1:6" ht="17.25" customHeight="1">
      <c r="A26" s="11" t="s">
        <v>132</v>
      </c>
      <c r="B26" s="12" t="s">
        <v>133</v>
      </c>
      <c r="C26" s="184"/>
      <c r="D26" s="185"/>
      <c r="E26" s="185"/>
      <c r="F26" s="185"/>
    </row>
    <row r="27" spans="1:6" ht="16.5" customHeight="1">
      <c r="A27" s="9" t="s">
        <v>22</v>
      </c>
      <c r="B27" s="10" t="s">
        <v>23</v>
      </c>
      <c r="C27" s="184"/>
      <c r="D27" s="185"/>
      <c r="E27" s="185"/>
      <c r="F27" s="185"/>
    </row>
    <row r="28" spans="1:6">
      <c r="A28" s="11" t="s">
        <v>134</v>
      </c>
      <c r="B28" s="12" t="s">
        <v>135</v>
      </c>
      <c r="C28" s="186"/>
      <c r="D28" s="187"/>
      <c r="E28" s="187"/>
      <c r="F28" s="187"/>
    </row>
    <row r="29" spans="1:6" ht="14.25" customHeight="1">
      <c r="A29" s="13" t="s">
        <v>26</v>
      </c>
      <c r="B29" s="182" t="s">
        <v>27</v>
      </c>
      <c r="C29" s="183"/>
      <c r="D29" s="34" t="s">
        <v>28</v>
      </c>
      <c r="E29" s="14" t="s">
        <v>29</v>
      </c>
      <c r="F29" s="17" t="s">
        <v>30</v>
      </c>
    </row>
    <row r="30" spans="1:6" ht="12" customHeight="1">
      <c r="A30" s="6"/>
      <c r="B30" s="28"/>
      <c r="C30" s="28"/>
      <c r="D30" s="28" t="s">
        <v>56</v>
      </c>
      <c r="E30" s="28" t="s">
        <v>136</v>
      </c>
      <c r="F30" s="35" t="s">
        <v>137</v>
      </c>
    </row>
    <row r="31" spans="1:6" ht="11.7" customHeight="1">
      <c r="A31" s="152"/>
      <c r="B31" s="152"/>
      <c r="C31" s="152"/>
      <c r="D31" s="152"/>
      <c r="E31" s="152"/>
      <c r="F31" s="152"/>
    </row>
    <row r="32" spans="1:6" ht="15.75" customHeight="1">
      <c r="A32" s="36" t="s">
        <v>95</v>
      </c>
      <c r="B32" s="153" t="s">
        <v>138</v>
      </c>
      <c r="C32" s="153"/>
      <c r="D32" s="105">
        <v>21340</v>
      </c>
      <c r="E32" s="105">
        <v>195</v>
      </c>
      <c r="F32" s="105">
        <f>D32*E32</f>
        <v>4161300</v>
      </c>
    </row>
    <row r="33" spans="1:6" ht="15" customHeight="1">
      <c r="A33" s="27"/>
      <c r="B33" s="153" t="s">
        <v>139</v>
      </c>
      <c r="C33" s="153"/>
      <c r="D33" s="28"/>
      <c r="E33" s="101"/>
      <c r="F33" s="28"/>
    </row>
    <row r="34" spans="1:6" ht="15" customHeight="1">
      <c r="A34" s="27"/>
      <c r="B34" s="153" t="s">
        <v>98</v>
      </c>
      <c r="C34" s="153"/>
      <c r="D34" s="28"/>
      <c r="E34" s="101"/>
      <c r="F34" s="101"/>
    </row>
    <row r="35" spans="1:6" ht="15" customHeight="1">
      <c r="A35" s="27"/>
      <c r="B35" s="153" t="s">
        <v>99</v>
      </c>
      <c r="C35" s="153"/>
      <c r="D35" s="153"/>
      <c r="E35" s="153"/>
      <c r="F35" s="153"/>
    </row>
    <row r="36" spans="1:6" ht="15" customHeight="1">
      <c r="A36" s="27"/>
      <c r="B36" s="27"/>
      <c r="C36" s="27"/>
      <c r="D36" s="26"/>
      <c r="E36" s="41"/>
      <c r="F36" s="26"/>
    </row>
    <row r="37" spans="1:6" ht="15" customHeight="1">
      <c r="A37" s="27"/>
      <c r="B37" s="27"/>
      <c r="C37" s="27"/>
      <c r="D37" s="26"/>
      <c r="E37" s="41"/>
      <c r="F37" s="26"/>
    </row>
    <row r="38" spans="1:6" ht="15" customHeight="1">
      <c r="A38" s="153"/>
      <c r="B38" s="153"/>
      <c r="C38" s="7"/>
      <c r="D38" s="28"/>
      <c r="E38" s="21"/>
      <c r="F38" s="21"/>
    </row>
    <row r="39" spans="1:6" ht="15" customHeight="1">
      <c r="A39" s="156"/>
      <c r="B39" s="156"/>
      <c r="C39" s="29"/>
      <c r="D39" s="29"/>
      <c r="E39" s="30"/>
      <c r="F39" s="30"/>
    </row>
    <row r="40" spans="1:6" ht="15" customHeight="1">
      <c r="A40" s="21"/>
      <c r="B40" s="28" t="s">
        <v>37</v>
      </c>
      <c r="C40" s="28"/>
      <c r="D40" s="42" t="s">
        <v>140</v>
      </c>
      <c r="E40" s="28"/>
      <c r="F40" s="106">
        <f>F32</f>
        <v>4161300</v>
      </c>
    </row>
    <row r="41" spans="1:6" ht="15" customHeight="1">
      <c r="A41" s="21"/>
      <c r="B41" s="28"/>
      <c r="C41" s="28"/>
      <c r="D41" s="28"/>
      <c r="E41" s="28"/>
      <c r="F41" s="28"/>
    </row>
    <row r="42" spans="1:6" ht="15" customHeight="1">
      <c r="A42" s="21"/>
      <c r="B42" s="28"/>
      <c r="C42" s="28"/>
      <c r="D42" s="28"/>
      <c r="E42" s="28"/>
      <c r="F42" s="21"/>
    </row>
    <row r="43" spans="1:6" ht="21.75" customHeight="1">
      <c r="A43" s="152"/>
      <c r="B43" s="152"/>
      <c r="C43" s="152"/>
      <c r="D43" s="152"/>
      <c r="E43" s="152"/>
      <c r="F43" s="152"/>
    </row>
    <row r="44" spans="1:6">
      <c r="A44" s="43"/>
    </row>
    <row r="49" spans="5:5">
      <c r="E49" s="44" t="s">
        <v>38</v>
      </c>
    </row>
  </sheetData>
  <mergeCells count="30">
    <mergeCell ref="A38:B38"/>
    <mergeCell ref="A39:B39"/>
    <mergeCell ref="A43:F43"/>
    <mergeCell ref="C17:F28"/>
    <mergeCell ref="A2:F9"/>
    <mergeCell ref="A31:F31"/>
    <mergeCell ref="B32:C32"/>
    <mergeCell ref="B33:C33"/>
    <mergeCell ref="B34:C34"/>
    <mergeCell ref="B35:F35"/>
    <mergeCell ref="A21:B21"/>
    <mergeCell ref="A22:B22"/>
    <mergeCell ref="A23:B23"/>
    <mergeCell ref="A24:B24"/>
    <mergeCell ref="B29:C29"/>
    <mergeCell ref="A16:B16"/>
    <mergeCell ref="C16:F16"/>
    <mergeCell ref="A17:B17"/>
    <mergeCell ref="A18:B18"/>
    <mergeCell ref="A19:B19"/>
    <mergeCell ref="A13:B13"/>
    <mergeCell ref="C13:F13"/>
    <mergeCell ref="A14:B14"/>
    <mergeCell ref="C14:F14"/>
    <mergeCell ref="C15:F15"/>
    <mergeCell ref="A10:B10"/>
    <mergeCell ref="A11:B11"/>
    <mergeCell ref="C11:F11"/>
    <mergeCell ref="A12:B12"/>
    <mergeCell ref="C12:F12"/>
  </mergeCells>
  <phoneticPr fontId="25" type="noConversion"/>
  <printOptions horizontalCentered="1"/>
  <pageMargins left="0.39370078740157499" right="0.23622047244094499" top="0.74803149606299202" bottom="0.74803149606299202" header="0.31496062992126" footer="0.31496062992126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44"/>
  <sheetViews>
    <sheetView topLeftCell="A6" workbookViewId="0">
      <selection activeCell="F36" sqref="F36"/>
    </sheetView>
  </sheetViews>
  <sheetFormatPr defaultColWidth="9" defaultRowHeight="12"/>
  <cols>
    <col min="1" max="1" width="23.09765625" style="1" customWidth="1"/>
    <col min="2" max="2" width="17.3984375" style="1" customWidth="1"/>
    <col min="3" max="3" width="5.69921875" style="1" customWidth="1"/>
    <col min="4" max="4" width="7.796875" style="1" customWidth="1"/>
    <col min="5" max="5" width="9.8984375" style="1" customWidth="1"/>
    <col min="6" max="6" width="8.8984375" style="1" customWidth="1"/>
    <col min="7" max="7" width="11.59765625" style="1" customWidth="1"/>
    <col min="8" max="8" width="11.8984375" style="1" customWidth="1"/>
    <col min="9" max="16384" width="9" style="1"/>
  </cols>
  <sheetData>
    <row r="2" spans="1:8" ht="14.25" customHeight="1">
      <c r="A2" s="157" t="s">
        <v>39</v>
      </c>
      <c r="B2" s="157"/>
      <c r="C2" s="157"/>
      <c r="D2" s="157"/>
      <c r="E2" s="157"/>
      <c r="F2" s="157"/>
      <c r="G2" s="157"/>
      <c r="H2" s="2"/>
    </row>
    <row r="3" spans="1:8" ht="14.25" customHeight="1">
      <c r="A3" s="157"/>
      <c r="B3" s="157"/>
      <c r="C3" s="157"/>
      <c r="D3" s="157"/>
      <c r="E3" s="157"/>
      <c r="F3" s="157"/>
      <c r="G3" s="157"/>
      <c r="H3" s="2"/>
    </row>
    <row r="4" spans="1:8" ht="14.25" customHeight="1">
      <c r="A4" s="157"/>
      <c r="B4" s="157"/>
      <c r="C4" s="157"/>
      <c r="D4" s="157"/>
      <c r="E4" s="157"/>
      <c r="F4" s="157"/>
      <c r="G4" s="157"/>
      <c r="H4" s="2"/>
    </row>
    <row r="5" spans="1:8" ht="12" customHeight="1">
      <c r="A5" s="157"/>
      <c r="B5" s="157"/>
      <c r="C5" s="157"/>
      <c r="D5" s="157"/>
      <c r="E5" s="157"/>
      <c r="F5" s="157"/>
      <c r="G5" s="157"/>
      <c r="H5" s="2"/>
    </row>
    <row r="6" spans="1:8" ht="17.399999999999999" customHeight="1">
      <c r="A6" s="172"/>
      <c r="B6" s="172"/>
      <c r="C6" s="172"/>
      <c r="D6" s="172"/>
      <c r="E6" s="172"/>
      <c r="F6" s="172"/>
      <c r="G6" s="172"/>
    </row>
    <row r="7" spans="1:8" customFormat="1" ht="17.399999999999999" customHeight="1">
      <c r="A7" s="177" t="s">
        <v>1</v>
      </c>
      <c r="B7" s="177"/>
      <c r="C7" s="188" t="s">
        <v>2</v>
      </c>
      <c r="D7" s="189"/>
      <c r="E7" s="189"/>
      <c r="F7" s="189"/>
      <c r="G7" s="189"/>
    </row>
    <row r="8" spans="1:8" customFormat="1" ht="17.399999999999999" customHeight="1">
      <c r="A8" s="178" t="s">
        <v>3</v>
      </c>
      <c r="B8" s="178"/>
      <c r="C8" s="190" t="s">
        <v>141</v>
      </c>
      <c r="D8" s="180"/>
      <c r="E8" s="180"/>
      <c r="F8" s="180"/>
      <c r="G8" s="180"/>
    </row>
    <row r="9" spans="1:8" customFormat="1" ht="17.399999999999999" customHeight="1">
      <c r="A9" s="178" t="s">
        <v>5</v>
      </c>
      <c r="B9" s="178"/>
      <c r="C9" s="190"/>
      <c r="D9" s="180"/>
      <c r="E9" s="180"/>
      <c r="F9" s="180"/>
      <c r="G9" s="180"/>
    </row>
    <row r="10" spans="1:8" customFormat="1" ht="17.399999999999999" customHeight="1">
      <c r="A10" s="179" t="s">
        <v>7</v>
      </c>
      <c r="B10" s="179"/>
      <c r="C10" s="191"/>
      <c r="D10" s="192"/>
      <c r="E10" s="192"/>
      <c r="F10" s="192"/>
      <c r="G10" s="192"/>
    </row>
    <row r="11" spans="1:8" customFormat="1" ht="17.399999999999999" customHeight="1">
      <c r="A11" s="45" t="s">
        <v>10</v>
      </c>
      <c r="B11" s="45"/>
      <c r="C11" s="193"/>
      <c r="D11" s="194"/>
      <c r="E11" s="194"/>
      <c r="F11" s="194"/>
      <c r="G11" s="194"/>
    </row>
    <row r="12" spans="1:8" customFormat="1" ht="17.399999999999999" customHeight="1">
      <c r="A12" s="180" t="s">
        <v>120</v>
      </c>
      <c r="B12" s="180"/>
      <c r="C12" s="199" t="s">
        <v>103</v>
      </c>
      <c r="D12" s="153"/>
      <c r="E12" s="153"/>
      <c r="F12" s="153"/>
      <c r="G12" s="153"/>
    </row>
    <row r="13" spans="1:8" customFormat="1" ht="17.399999999999999" customHeight="1">
      <c r="A13" s="180" t="s">
        <v>127</v>
      </c>
      <c r="B13" s="180"/>
      <c r="C13" s="199"/>
      <c r="D13" s="153"/>
      <c r="E13" s="153"/>
      <c r="F13" s="153"/>
      <c r="G13" s="153"/>
    </row>
    <row r="14" spans="1:8" customFormat="1" ht="17.399999999999999" customHeight="1">
      <c r="A14" s="180" t="s">
        <v>124</v>
      </c>
      <c r="B14" s="181"/>
      <c r="C14" s="199"/>
      <c r="D14" s="153"/>
      <c r="E14" s="153"/>
      <c r="F14" s="153"/>
      <c r="G14" s="153"/>
    </row>
    <row r="15" spans="1:8" customFormat="1" ht="17.399999999999999" customHeight="1">
      <c r="A15" s="180"/>
      <c r="B15" s="180"/>
      <c r="C15" s="199"/>
      <c r="D15" s="153"/>
      <c r="E15" s="153"/>
      <c r="F15" s="153"/>
      <c r="G15" s="153"/>
    </row>
    <row r="16" spans="1:8" customFormat="1" ht="17.399999999999999" customHeight="1">
      <c r="A16" s="177" t="s">
        <v>16</v>
      </c>
      <c r="B16" s="177"/>
      <c r="C16" s="199"/>
      <c r="D16" s="153"/>
      <c r="E16" s="153"/>
      <c r="F16" s="153"/>
      <c r="G16" s="153"/>
    </row>
    <row r="17" spans="1:8" customFormat="1" ht="17.399999999999999" customHeight="1">
      <c r="A17" s="180" t="s">
        <v>120</v>
      </c>
      <c r="B17" s="180"/>
      <c r="C17" s="161"/>
      <c r="D17" s="153"/>
      <c r="E17" s="153"/>
      <c r="F17" s="153"/>
      <c r="G17" s="153"/>
    </row>
    <row r="18" spans="1:8" customFormat="1" ht="17.399999999999999" customHeight="1">
      <c r="A18" s="180" t="s">
        <v>127</v>
      </c>
      <c r="B18" s="180"/>
      <c r="C18" s="199"/>
      <c r="D18" s="153"/>
      <c r="E18" s="153"/>
      <c r="F18" s="153"/>
      <c r="G18" s="153"/>
    </row>
    <row r="19" spans="1:8" customFormat="1" ht="17.399999999999999" customHeight="1">
      <c r="A19" s="180" t="s">
        <v>124</v>
      </c>
      <c r="B19" s="181"/>
      <c r="C19" s="199"/>
      <c r="D19" s="153"/>
      <c r="E19" s="153"/>
      <c r="F19" s="153"/>
      <c r="G19" s="153"/>
    </row>
    <row r="20" spans="1:8" customFormat="1" ht="17.399999999999999" customHeight="1">
      <c r="A20" s="9" t="s">
        <v>18</v>
      </c>
      <c r="B20" s="10" t="s">
        <v>19</v>
      </c>
      <c r="C20" s="199"/>
      <c r="D20" s="153"/>
      <c r="E20" s="153"/>
      <c r="F20" s="153"/>
      <c r="G20" s="153"/>
    </row>
    <row r="21" spans="1:8" customFormat="1" ht="17.399999999999999" customHeight="1">
      <c r="A21" s="11" t="s">
        <v>132</v>
      </c>
      <c r="B21" s="12" t="s">
        <v>133</v>
      </c>
      <c r="C21" s="199"/>
      <c r="D21" s="153"/>
      <c r="E21" s="153"/>
      <c r="F21" s="153"/>
      <c r="G21" s="153"/>
    </row>
    <row r="22" spans="1:8" customFormat="1" ht="17.399999999999999" customHeight="1">
      <c r="A22" s="9" t="s">
        <v>22</v>
      </c>
      <c r="B22" s="10" t="s">
        <v>23</v>
      </c>
      <c r="C22" s="199"/>
      <c r="D22" s="153"/>
      <c r="E22" s="153"/>
      <c r="F22" s="153"/>
      <c r="G22" s="153"/>
    </row>
    <row r="23" spans="1:8" customFormat="1" ht="15" customHeight="1">
      <c r="A23" s="11" t="s">
        <v>134</v>
      </c>
      <c r="B23" s="12" t="s">
        <v>135</v>
      </c>
      <c r="C23" s="200"/>
      <c r="D23" s="201"/>
      <c r="E23" s="201"/>
      <c r="F23" s="201"/>
      <c r="G23" s="201"/>
    </row>
    <row r="24" spans="1:8" customFormat="1" ht="22.95" customHeight="1">
      <c r="A24" s="46" t="s">
        <v>26</v>
      </c>
      <c r="B24" s="195" t="s">
        <v>27</v>
      </c>
      <c r="C24" s="196"/>
      <c r="D24" s="47" t="s">
        <v>106</v>
      </c>
      <c r="E24" s="48" t="s">
        <v>107</v>
      </c>
      <c r="F24" s="49" t="s">
        <v>108</v>
      </c>
      <c r="G24" s="50" t="s">
        <v>109</v>
      </c>
    </row>
    <row r="25" spans="1:8" customFormat="1" ht="17.399999999999999" customHeight="1">
      <c r="A25" s="4"/>
      <c r="B25" s="19"/>
      <c r="C25" s="19"/>
      <c r="D25" s="20"/>
      <c r="E25" s="19"/>
      <c r="F25" s="19"/>
      <c r="G25" s="20"/>
    </row>
    <row r="26" spans="1:8" ht="11.25" customHeight="1">
      <c r="A26" s="154" t="s">
        <v>138</v>
      </c>
      <c r="B26" s="154"/>
      <c r="C26" s="154"/>
      <c r="D26" s="23"/>
      <c r="E26" s="21"/>
      <c r="F26" s="21"/>
      <c r="G26" s="21"/>
      <c r="H26" s="21"/>
    </row>
    <row r="27" spans="1:8" ht="12" customHeight="1">
      <c r="A27" s="7"/>
      <c r="B27" s="154" t="s">
        <v>98</v>
      </c>
      <c r="C27" s="215"/>
      <c r="D27" s="22"/>
      <c r="E27" s="24"/>
      <c r="F27" s="24"/>
      <c r="G27" s="25"/>
      <c r="H27" s="26"/>
    </row>
    <row r="28" spans="1:8" ht="12" customHeight="1">
      <c r="A28" s="27"/>
      <c r="B28" s="215"/>
      <c r="C28" s="215"/>
      <c r="D28" s="21"/>
      <c r="E28" s="24"/>
      <c r="F28" s="24"/>
      <c r="G28" s="25"/>
      <c r="H28" s="26"/>
    </row>
    <row r="29" spans="1:8" ht="11.25" customHeight="1">
      <c r="A29" s="21"/>
      <c r="B29" s="21"/>
      <c r="C29" s="21"/>
      <c r="D29" s="28"/>
      <c r="E29" s="21"/>
      <c r="F29" s="21"/>
      <c r="G29" s="21"/>
      <c r="H29" s="21"/>
    </row>
    <row r="30" spans="1:8" ht="11.25" customHeight="1">
      <c r="A30" s="21"/>
      <c r="B30" s="7"/>
      <c r="C30" s="168" t="s">
        <v>142</v>
      </c>
      <c r="D30" s="168"/>
      <c r="E30" s="168" t="s">
        <v>143</v>
      </c>
      <c r="F30" s="168"/>
      <c r="G30" s="21"/>
      <c r="H30" s="21"/>
    </row>
    <row r="31" spans="1:8" ht="11.25" customHeight="1">
      <c r="A31" s="21"/>
      <c r="B31" s="7"/>
      <c r="C31" s="210" t="s">
        <v>144</v>
      </c>
      <c r="D31" s="211"/>
      <c r="E31" s="212" t="s">
        <v>140</v>
      </c>
      <c r="F31" s="213"/>
      <c r="H31" s="21"/>
    </row>
    <row r="32" spans="1:8">
      <c r="A32" s="156"/>
      <c r="B32" s="156"/>
      <c r="C32" s="29" t="s">
        <v>145</v>
      </c>
      <c r="D32" s="29"/>
      <c r="E32" s="30"/>
      <c r="F32" s="30"/>
      <c r="G32" s="30"/>
      <c r="H32" s="21"/>
    </row>
    <row r="33" spans="1:8" ht="16.2" customHeight="1">
      <c r="A33" s="21"/>
      <c r="B33" s="54" t="s">
        <v>139</v>
      </c>
      <c r="C33" s="214" t="s">
        <v>146</v>
      </c>
      <c r="D33" s="214"/>
      <c r="E33" s="55" t="s">
        <v>140</v>
      </c>
      <c r="F33" s="55" t="s">
        <v>140</v>
      </c>
      <c r="G33" s="31" t="s">
        <v>147</v>
      </c>
      <c r="H33" s="21"/>
    </row>
    <row r="34" spans="1:8">
      <c r="A34" s="21"/>
      <c r="C34" s="56"/>
      <c r="D34" s="56"/>
      <c r="E34" s="28"/>
      <c r="F34" s="28"/>
      <c r="G34" s="28"/>
      <c r="H34" s="21"/>
    </row>
    <row r="35" spans="1:8">
      <c r="A35" s="21"/>
      <c r="B35" s="57"/>
      <c r="C35" s="56"/>
      <c r="D35" s="56"/>
      <c r="E35" s="28"/>
      <c r="F35" s="28"/>
      <c r="G35" s="28"/>
      <c r="H35" s="21"/>
    </row>
    <row r="36" spans="1:8">
      <c r="B36" s="56"/>
      <c r="C36" s="56"/>
      <c r="D36" s="56"/>
      <c r="E36" s="21" t="s">
        <v>116</v>
      </c>
      <c r="F36" s="21"/>
      <c r="G36" s="21"/>
      <c r="H36" s="21"/>
    </row>
    <row r="37" spans="1:8">
      <c r="A37" s="21" t="s">
        <v>117</v>
      </c>
      <c r="B37" s="8"/>
      <c r="C37" s="8"/>
      <c r="D37" s="21"/>
      <c r="E37" s="21"/>
      <c r="F37" s="21"/>
      <c r="G37" s="21"/>
      <c r="H37" s="21"/>
    </row>
    <row r="38" spans="1:8" ht="36" customHeight="1">
      <c r="A38" s="21"/>
      <c r="B38" s="146"/>
      <c r="C38" s="146"/>
      <c r="D38" s="146"/>
      <c r="E38" s="146"/>
      <c r="F38" s="146"/>
      <c r="G38" s="146"/>
      <c r="H38" s="21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198"/>
      <c r="B40" s="198"/>
      <c r="C40" s="198"/>
      <c r="D40" s="198"/>
      <c r="E40" s="198"/>
      <c r="F40" s="198"/>
      <c r="G40" s="198"/>
      <c r="H40" s="198"/>
    </row>
    <row r="44" spans="1:8">
      <c r="E44" s="32" t="s">
        <v>118</v>
      </c>
      <c r="F44" s="32"/>
    </row>
  </sheetData>
  <mergeCells count="30">
    <mergeCell ref="A40:H40"/>
    <mergeCell ref="A2:G6"/>
    <mergeCell ref="C12:G23"/>
    <mergeCell ref="B27:C28"/>
    <mergeCell ref="C31:D31"/>
    <mergeCell ref="E31:F31"/>
    <mergeCell ref="A32:B32"/>
    <mergeCell ref="C33:D33"/>
    <mergeCell ref="B38:G38"/>
    <mergeCell ref="A19:B19"/>
    <mergeCell ref="B24:C24"/>
    <mergeCell ref="A26:C26"/>
    <mergeCell ref="C30:D30"/>
    <mergeCell ref="E30:F30"/>
    <mergeCell ref="A14:B14"/>
    <mergeCell ref="A15:B15"/>
    <mergeCell ref="A16:B16"/>
    <mergeCell ref="A17:B17"/>
    <mergeCell ref="A18:B18"/>
    <mergeCell ref="A10:B10"/>
    <mergeCell ref="C10:G10"/>
    <mergeCell ref="C11:G11"/>
    <mergeCell ref="A12:B12"/>
    <mergeCell ref="A13:B13"/>
    <mergeCell ref="A7:B7"/>
    <mergeCell ref="C7:G7"/>
    <mergeCell ref="A8:B8"/>
    <mergeCell ref="C8:G8"/>
    <mergeCell ref="A9:B9"/>
    <mergeCell ref="C9:G9"/>
  </mergeCells>
  <phoneticPr fontId="25" type="noConversion"/>
  <printOptions horizontalCentered="1"/>
  <pageMargins left="0.47244094488188998" right="0.47244094488188998" top="0.74803149606299202" bottom="0.74803149606299202" header="0.31496062992126" footer="0.31496062992126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G40"/>
  <sheetViews>
    <sheetView topLeftCell="A4" workbookViewId="0">
      <selection activeCell="A23" sqref="A23:A28"/>
    </sheetView>
  </sheetViews>
  <sheetFormatPr defaultColWidth="9" defaultRowHeight="15.6"/>
  <cols>
    <col min="1" max="1" width="16.8984375" customWidth="1"/>
    <col min="2" max="2" width="6.3984375" customWidth="1"/>
    <col min="3" max="3" width="21.3984375" customWidth="1"/>
    <col min="4" max="4" width="14.19921875" customWidth="1"/>
    <col min="5" max="5" width="13.19921875" customWidth="1"/>
    <col min="6" max="6" width="16.796875" customWidth="1"/>
    <col min="7" max="7" width="12.69921875" customWidth="1"/>
  </cols>
  <sheetData>
    <row r="2" spans="1:7">
      <c r="A2" s="157" t="s">
        <v>148</v>
      </c>
      <c r="B2" s="157"/>
      <c r="C2" s="157"/>
      <c r="D2" s="157"/>
      <c r="E2" s="157"/>
      <c r="F2" s="157"/>
      <c r="G2" s="8"/>
    </row>
    <row r="3" spans="1:7">
      <c r="A3" s="157"/>
      <c r="B3" s="157"/>
      <c r="C3" s="157"/>
      <c r="D3" s="157"/>
      <c r="E3" s="157"/>
      <c r="F3" s="157"/>
      <c r="G3" s="8"/>
    </row>
    <row r="4" spans="1:7">
      <c r="A4" s="157"/>
      <c r="B4" s="157"/>
      <c r="C4" s="157"/>
      <c r="D4" s="157"/>
      <c r="E4" s="157"/>
      <c r="F4" s="157"/>
      <c r="G4" s="8"/>
    </row>
    <row r="5" spans="1:7">
      <c r="A5" s="157"/>
      <c r="B5" s="157"/>
      <c r="C5" s="157"/>
      <c r="D5" s="157"/>
      <c r="E5" s="157"/>
      <c r="F5" s="157"/>
      <c r="G5" s="1"/>
    </row>
    <row r="6" spans="1:7" ht="15.75" customHeight="1">
      <c r="A6" s="157"/>
      <c r="B6" s="157"/>
      <c r="C6" s="157"/>
      <c r="D6" s="157"/>
      <c r="E6" s="157"/>
      <c r="F6" s="157"/>
    </row>
    <row r="7" spans="1:7" ht="2.25" customHeight="1">
      <c r="A7" s="157"/>
      <c r="B7" s="157"/>
      <c r="C7" s="157"/>
      <c r="D7" s="157"/>
      <c r="E7" s="157"/>
      <c r="F7" s="157"/>
    </row>
    <row r="8" spans="1:7" ht="13.5" hidden="1" customHeight="1">
      <c r="A8" s="157"/>
      <c r="B8" s="157"/>
      <c r="C8" s="157"/>
      <c r="D8" s="157"/>
      <c r="E8" s="157"/>
      <c r="F8" s="157"/>
    </row>
    <row r="9" spans="1:7" ht="15" customHeight="1">
      <c r="A9" s="177" t="s">
        <v>149</v>
      </c>
      <c r="B9" s="177"/>
      <c r="C9" s="177"/>
      <c r="D9" s="216" t="s">
        <v>150</v>
      </c>
      <c r="E9" s="177"/>
      <c r="F9" s="177"/>
    </row>
    <row r="10" spans="1:7" ht="15" customHeight="1">
      <c r="A10" s="178" t="s">
        <v>3</v>
      </c>
      <c r="B10" s="178"/>
      <c r="C10" s="178"/>
      <c r="D10" s="191" t="s">
        <v>151</v>
      </c>
      <c r="E10" s="192"/>
      <c r="F10" s="192"/>
    </row>
    <row r="11" spans="1:7" ht="15" customHeight="1">
      <c r="A11" s="178" t="s">
        <v>5</v>
      </c>
      <c r="B11" s="178"/>
      <c r="C11" s="178"/>
      <c r="D11" s="188" t="s">
        <v>152</v>
      </c>
      <c r="E11" s="189"/>
      <c r="F11" s="189"/>
    </row>
    <row r="12" spans="1:7" ht="15" customHeight="1">
      <c r="A12" s="179" t="s">
        <v>7</v>
      </c>
      <c r="B12" s="179"/>
      <c r="C12" s="179"/>
      <c r="D12" s="217" t="s">
        <v>8</v>
      </c>
      <c r="E12" s="178"/>
      <c r="F12" s="178"/>
    </row>
    <row r="13" spans="1:7" ht="15" customHeight="1">
      <c r="A13" s="45" t="s">
        <v>153</v>
      </c>
      <c r="B13" s="45"/>
      <c r="C13" s="45"/>
      <c r="D13" s="229" t="s">
        <v>154</v>
      </c>
      <c r="E13" s="230"/>
      <c r="F13" s="230"/>
    </row>
    <row r="14" spans="1:7" ht="15" customHeight="1">
      <c r="A14" s="180" t="s">
        <v>120</v>
      </c>
      <c r="B14" s="180"/>
      <c r="C14" s="180"/>
      <c r="D14" s="184"/>
      <c r="E14" s="185"/>
      <c r="F14" s="185"/>
    </row>
    <row r="15" spans="1:7" ht="15" customHeight="1">
      <c r="A15" s="180" t="s">
        <v>122</v>
      </c>
      <c r="B15" s="180"/>
      <c r="C15" s="180"/>
      <c r="D15" s="184"/>
      <c r="E15" s="185"/>
      <c r="F15" s="185"/>
    </row>
    <row r="16" spans="1:7" ht="15" customHeight="1">
      <c r="A16" s="79" t="s">
        <v>123</v>
      </c>
      <c r="B16" s="79"/>
      <c r="C16" s="79"/>
      <c r="D16" s="184"/>
      <c r="E16" s="185"/>
      <c r="F16" s="185"/>
    </row>
    <row r="17" spans="1:7" ht="15" customHeight="1">
      <c r="A17" s="180"/>
      <c r="B17" s="180"/>
      <c r="C17" s="180"/>
      <c r="D17" s="184"/>
      <c r="E17" s="185"/>
      <c r="F17" s="185"/>
    </row>
    <row r="18" spans="1:7" ht="15" customHeight="1">
      <c r="A18" s="80" t="s">
        <v>155</v>
      </c>
      <c r="B18" s="188" t="s">
        <v>156</v>
      </c>
      <c r="C18" s="218"/>
      <c r="D18" s="184"/>
      <c r="E18" s="185"/>
      <c r="F18" s="185"/>
    </row>
    <row r="19" spans="1:7" ht="15" customHeight="1">
      <c r="A19" s="11" t="s">
        <v>157</v>
      </c>
      <c r="B19" s="190" t="s">
        <v>158</v>
      </c>
      <c r="C19" s="181"/>
      <c r="D19" s="184"/>
      <c r="E19" s="185"/>
      <c r="F19" s="185"/>
    </row>
    <row r="20" spans="1:7" ht="15" customHeight="1">
      <c r="A20" s="80" t="s">
        <v>159</v>
      </c>
      <c r="B20" s="188" t="s">
        <v>160</v>
      </c>
      <c r="C20" s="218"/>
      <c r="D20" s="184"/>
      <c r="E20" s="185"/>
      <c r="F20" s="185"/>
    </row>
    <row r="21" spans="1:7" ht="15" customHeight="1">
      <c r="A21" s="81" t="s">
        <v>161</v>
      </c>
      <c r="B21" s="191" t="s">
        <v>162</v>
      </c>
      <c r="C21" s="219"/>
      <c r="D21" s="186"/>
      <c r="E21" s="187"/>
      <c r="F21" s="187"/>
    </row>
    <row r="22" spans="1:7" ht="28.5" customHeight="1">
      <c r="A22" s="82" t="s">
        <v>163</v>
      </c>
      <c r="B22" s="220" t="s">
        <v>164</v>
      </c>
      <c r="C22" s="221"/>
      <c r="D22" s="83" t="s">
        <v>165</v>
      </c>
      <c r="E22" s="84" t="s">
        <v>166</v>
      </c>
      <c r="F22" s="84" t="s">
        <v>167</v>
      </c>
    </row>
    <row r="23" spans="1:7" ht="15" customHeight="1">
      <c r="A23" s="227" t="s">
        <v>95</v>
      </c>
      <c r="B23" s="222" t="s">
        <v>168</v>
      </c>
      <c r="C23" s="222"/>
      <c r="D23" s="85">
        <v>21000</v>
      </c>
      <c r="E23" s="85">
        <v>235</v>
      </c>
      <c r="F23" s="85">
        <f>D23*E23</f>
        <v>4935000</v>
      </c>
    </row>
    <row r="24" spans="1:7" ht="15" customHeight="1">
      <c r="A24" s="228"/>
      <c r="B24" s="231"/>
      <c r="C24" s="232"/>
      <c r="D24" s="86"/>
      <c r="E24" s="86"/>
      <c r="F24" s="86"/>
    </row>
    <row r="25" spans="1:7" ht="15" customHeight="1">
      <c r="A25" s="228"/>
      <c r="B25" s="231"/>
      <c r="C25" s="232"/>
      <c r="D25" s="86"/>
      <c r="E25" s="86"/>
      <c r="F25" s="86"/>
    </row>
    <row r="26" spans="1:7" ht="15" customHeight="1">
      <c r="A26" s="228"/>
      <c r="B26" s="223" t="s">
        <v>169</v>
      </c>
      <c r="C26" s="223"/>
      <c r="D26" s="88" t="s">
        <v>170</v>
      </c>
      <c r="E26" s="89"/>
      <c r="F26" s="88" t="s">
        <v>170</v>
      </c>
      <c r="G26" s="39"/>
    </row>
    <row r="27" spans="1:7" ht="15" customHeight="1">
      <c r="A27" s="228"/>
      <c r="B27" s="223" t="s">
        <v>98</v>
      </c>
      <c r="C27" s="223"/>
      <c r="D27" s="88"/>
      <c r="E27" s="89"/>
      <c r="F27" s="89"/>
    </row>
    <row r="28" spans="1:7" ht="15" customHeight="1">
      <c r="A28" s="228"/>
      <c r="B28" s="224"/>
      <c r="C28" s="224"/>
      <c r="D28" s="89"/>
      <c r="E28" s="90"/>
      <c r="F28" s="91"/>
    </row>
    <row r="29" spans="1:7" ht="15" customHeight="1">
      <c r="A29" s="33"/>
      <c r="B29" s="33"/>
      <c r="C29" s="92"/>
      <c r="D29" s="87"/>
      <c r="E29" s="88"/>
      <c r="F29" s="90"/>
    </row>
    <row r="30" spans="1:7" ht="15" customHeight="1">
      <c r="A30" s="93"/>
      <c r="B30" s="93"/>
      <c r="C30" s="94"/>
      <c r="D30" s="95"/>
      <c r="E30" s="95"/>
      <c r="F30" s="96"/>
    </row>
    <row r="31" spans="1:7" ht="15" customHeight="1">
      <c r="A31" s="225" t="s">
        <v>37</v>
      </c>
      <c r="B31" s="226"/>
      <c r="C31" s="226"/>
      <c r="D31" s="97"/>
      <c r="E31" s="98"/>
      <c r="F31" s="99">
        <f>F23</f>
        <v>4935000</v>
      </c>
    </row>
    <row r="32" spans="1:7" ht="15" customHeight="1">
      <c r="A32" s="152"/>
      <c r="B32" s="152"/>
      <c r="C32" s="152"/>
      <c r="D32" s="152"/>
      <c r="E32" s="152"/>
      <c r="F32" s="152"/>
    </row>
    <row r="33" spans="1:6" ht="15" customHeight="1">
      <c r="A33" s="100" t="s">
        <v>171</v>
      </c>
      <c r="B33" s="100"/>
      <c r="C33" s="101"/>
      <c r="D33" s="101"/>
    </row>
    <row r="34" spans="1:6" ht="15" customHeight="1">
      <c r="A34" s="100" t="s">
        <v>172</v>
      </c>
      <c r="B34" s="100"/>
      <c r="C34" s="101"/>
      <c r="D34" s="101"/>
    </row>
    <row r="35" spans="1:6" ht="15" customHeight="1">
      <c r="A35" s="100" t="s">
        <v>173</v>
      </c>
      <c r="B35" s="100"/>
      <c r="C35" s="101"/>
      <c r="D35" s="101"/>
    </row>
    <row r="36" spans="1:6" ht="15" customHeight="1">
      <c r="A36" s="100" t="s">
        <v>174</v>
      </c>
      <c r="B36" s="100"/>
      <c r="C36" s="101"/>
      <c r="D36" s="101"/>
    </row>
    <row r="37" spans="1:6" ht="15" customHeight="1">
      <c r="A37" s="100" t="s">
        <v>175</v>
      </c>
      <c r="B37" s="100"/>
      <c r="C37" s="101"/>
      <c r="D37" s="101"/>
    </row>
    <row r="38" spans="1:6" ht="15" customHeight="1">
      <c r="A38" s="100"/>
      <c r="B38" s="100"/>
      <c r="C38" s="101"/>
      <c r="D38" s="101"/>
    </row>
    <row r="39" spans="1:6" ht="15" customHeight="1">
      <c r="A39" s="102"/>
      <c r="B39" s="102"/>
    </row>
    <row r="40" spans="1:6" ht="15" customHeight="1">
      <c r="A40" s="103" t="s">
        <v>176</v>
      </c>
      <c r="B40" s="103"/>
      <c r="C40" s="104"/>
      <c r="D40" s="104"/>
      <c r="E40" s="104"/>
      <c r="F40" s="103" t="s">
        <v>177</v>
      </c>
    </row>
  </sheetData>
  <mergeCells count="26">
    <mergeCell ref="A32:F32"/>
    <mergeCell ref="A23:A28"/>
    <mergeCell ref="A2:F8"/>
    <mergeCell ref="D13:F21"/>
    <mergeCell ref="B24:C25"/>
    <mergeCell ref="B23:C23"/>
    <mergeCell ref="B26:C26"/>
    <mergeCell ref="B27:C27"/>
    <mergeCell ref="B28:C28"/>
    <mergeCell ref="A31:C31"/>
    <mergeCell ref="B18:C18"/>
    <mergeCell ref="B19:C19"/>
    <mergeCell ref="B20:C20"/>
    <mergeCell ref="B21:C21"/>
    <mergeCell ref="B22:C22"/>
    <mergeCell ref="A12:C12"/>
    <mergeCell ref="D12:F12"/>
    <mergeCell ref="A14:C14"/>
    <mergeCell ref="A15:C15"/>
    <mergeCell ref="A17:C17"/>
    <mergeCell ref="A9:C9"/>
    <mergeCell ref="D9:F9"/>
    <mergeCell ref="A10:C10"/>
    <mergeCell ref="D10:F10"/>
    <mergeCell ref="A11:C11"/>
    <mergeCell ref="D11:F11"/>
  </mergeCells>
  <phoneticPr fontId="25" type="noConversion"/>
  <pageMargins left="0.70866141732283505" right="0.70866141732283505" top="0.74803149606299202" bottom="0.74803149606299202" header="0.31496062992126" footer="0.31496062992126"/>
  <pageSetup paperSize="9" scale="92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G50"/>
  <sheetViews>
    <sheetView workbookViewId="0">
      <selection activeCell="B28" sqref="B28:C28"/>
    </sheetView>
  </sheetViews>
  <sheetFormatPr defaultColWidth="9" defaultRowHeight="15.6"/>
  <cols>
    <col min="1" max="1" width="22.69921875" customWidth="1"/>
    <col min="2" max="2" width="24.5" customWidth="1"/>
    <col min="3" max="3" width="9" customWidth="1"/>
    <col min="4" max="4" width="11.59765625" customWidth="1"/>
    <col min="5" max="5" width="14.09765625" customWidth="1"/>
    <col min="6" max="6" width="11.59765625" customWidth="1"/>
    <col min="7" max="7" width="12.69921875" customWidth="1"/>
  </cols>
  <sheetData>
    <row r="2" spans="1:7">
      <c r="A2" s="157" t="s">
        <v>0</v>
      </c>
      <c r="B2" s="157"/>
      <c r="C2" s="157"/>
      <c r="D2" s="157"/>
      <c r="E2" s="157"/>
      <c r="F2" s="157"/>
      <c r="G2" s="8"/>
    </row>
    <row r="3" spans="1:7">
      <c r="A3" s="157"/>
      <c r="B3" s="157"/>
      <c r="C3" s="157"/>
      <c r="D3" s="157"/>
      <c r="E3" s="157"/>
      <c r="F3" s="157"/>
      <c r="G3" s="8"/>
    </row>
    <row r="4" spans="1:7">
      <c r="A4" s="157"/>
      <c r="B4" s="157"/>
      <c r="C4" s="157"/>
      <c r="D4" s="157"/>
      <c r="E4" s="157"/>
      <c r="F4" s="157"/>
      <c r="G4" s="8"/>
    </row>
    <row r="5" spans="1:7">
      <c r="A5" s="157"/>
      <c r="B5" s="157"/>
      <c r="C5" s="157"/>
      <c r="D5" s="157"/>
      <c r="E5" s="157"/>
      <c r="F5" s="157"/>
      <c r="G5" s="1"/>
    </row>
    <row r="6" spans="1:7" ht="15.75" customHeight="1">
      <c r="A6" s="157"/>
      <c r="B6" s="157"/>
      <c r="C6" s="157"/>
      <c r="D6" s="157"/>
      <c r="E6" s="157"/>
      <c r="F6" s="157"/>
    </row>
    <row r="7" spans="1:7" ht="2.25" customHeight="1">
      <c r="A7" s="157"/>
      <c r="B7" s="157"/>
      <c r="C7" s="157"/>
      <c r="D7" s="157"/>
      <c r="E7" s="157"/>
      <c r="F7" s="157"/>
    </row>
    <row r="8" spans="1:7" ht="13.5" hidden="1" customHeight="1">
      <c r="A8" s="157"/>
      <c r="B8" s="157"/>
      <c r="C8" s="157"/>
      <c r="D8" s="157"/>
      <c r="E8" s="157"/>
      <c r="F8" s="157"/>
    </row>
    <row r="9" spans="1:7" ht="17.25" hidden="1" customHeight="1">
      <c r="A9" s="157"/>
      <c r="B9" s="157"/>
      <c r="C9" s="157"/>
      <c r="D9" s="157"/>
      <c r="E9" s="157"/>
      <c r="F9" s="157"/>
    </row>
    <row r="10" spans="1:7" ht="13.5" customHeight="1">
      <c r="A10" s="146"/>
      <c r="B10" s="147"/>
      <c r="C10" s="4"/>
    </row>
    <row r="11" spans="1:7" ht="15" customHeight="1">
      <c r="A11" s="177" t="s">
        <v>1</v>
      </c>
      <c r="B11" s="177"/>
      <c r="C11" s="133" t="s">
        <v>2</v>
      </c>
      <c r="D11" s="131"/>
      <c r="E11" s="131"/>
      <c r="F11" s="131"/>
    </row>
    <row r="12" spans="1:7" ht="12" customHeight="1">
      <c r="A12" s="178" t="s">
        <v>3</v>
      </c>
      <c r="B12" s="178"/>
      <c r="C12" s="144" t="s">
        <v>178</v>
      </c>
      <c r="D12" s="145"/>
      <c r="E12" s="145"/>
      <c r="F12" s="145"/>
    </row>
    <row r="13" spans="1:7" ht="14.25" customHeight="1">
      <c r="A13" s="178" t="s">
        <v>5</v>
      </c>
      <c r="B13" s="178"/>
      <c r="C13" s="137" t="s">
        <v>86</v>
      </c>
      <c r="D13" s="138"/>
      <c r="E13" s="138"/>
      <c r="F13" s="138"/>
    </row>
    <row r="14" spans="1:7" ht="17.25" customHeight="1">
      <c r="A14" s="179" t="s">
        <v>7</v>
      </c>
      <c r="B14" s="179"/>
      <c r="C14" s="139"/>
      <c r="D14" s="134"/>
      <c r="E14" s="134"/>
      <c r="F14" s="134"/>
    </row>
    <row r="15" spans="1:7" ht="15" customHeight="1">
      <c r="A15" s="45" t="s">
        <v>10</v>
      </c>
      <c r="B15" s="45"/>
      <c r="C15" s="133" t="s">
        <v>9</v>
      </c>
      <c r="D15" s="131"/>
      <c r="E15" s="143"/>
      <c r="F15" s="143"/>
    </row>
    <row r="16" spans="1:7" ht="14.25" customHeight="1">
      <c r="A16" s="146" t="s">
        <v>179</v>
      </c>
      <c r="B16" s="146"/>
      <c r="C16" s="144" t="s">
        <v>180</v>
      </c>
      <c r="D16" s="145"/>
      <c r="E16" s="145"/>
      <c r="F16" s="145"/>
    </row>
    <row r="17" spans="1:6" ht="14.25" customHeight="1">
      <c r="A17" s="146" t="s">
        <v>181</v>
      </c>
      <c r="B17" s="146"/>
      <c r="C17" s="184"/>
      <c r="D17" s="185"/>
      <c r="E17" s="185"/>
      <c r="F17" s="185"/>
    </row>
    <row r="18" spans="1:6" ht="14.25" customHeight="1">
      <c r="A18" s="180" t="s">
        <v>182</v>
      </c>
      <c r="B18" s="181"/>
      <c r="C18" s="184"/>
      <c r="D18" s="185"/>
      <c r="E18" s="185"/>
      <c r="F18" s="185"/>
    </row>
    <row r="19" spans="1:6" ht="6.75" customHeight="1">
      <c r="A19" s="180"/>
      <c r="B19" s="180"/>
      <c r="C19" s="184"/>
      <c r="D19" s="185"/>
      <c r="E19" s="185"/>
      <c r="F19" s="185"/>
    </row>
    <row r="20" spans="1:6" ht="14.25" customHeight="1">
      <c r="A20" s="177" t="s">
        <v>16</v>
      </c>
      <c r="B20" s="177"/>
      <c r="C20" s="184"/>
      <c r="D20" s="185"/>
      <c r="E20" s="185"/>
      <c r="F20" s="185"/>
    </row>
    <row r="21" spans="1:6" ht="14.25" customHeight="1">
      <c r="A21" s="146" t="s">
        <v>179</v>
      </c>
      <c r="B21" s="146"/>
      <c r="C21" s="184"/>
      <c r="D21" s="185"/>
      <c r="E21" s="185"/>
      <c r="F21" s="185"/>
    </row>
    <row r="22" spans="1:6" ht="14.25" customHeight="1">
      <c r="A22" s="146" t="s">
        <v>181</v>
      </c>
      <c r="B22" s="146"/>
      <c r="C22" s="184"/>
      <c r="D22" s="185"/>
      <c r="E22" s="185"/>
      <c r="F22" s="185"/>
    </row>
    <row r="23" spans="1:6" ht="14.25" customHeight="1">
      <c r="A23" s="180" t="s">
        <v>182</v>
      </c>
      <c r="B23" s="181"/>
      <c r="C23" s="184"/>
      <c r="D23" s="185"/>
      <c r="E23" s="185"/>
      <c r="F23" s="185"/>
    </row>
    <row r="24" spans="1:6">
      <c r="A24" s="9" t="s">
        <v>18</v>
      </c>
      <c r="B24" s="10" t="s">
        <v>19</v>
      </c>
      <c r="C24" s="184"/>
      <c r="D24" s="185"/>
      <c r="E24" s="185"/>
      <c r="F24" s="185"/>
    </row>
    <row r="25" spans="1:6" ht="21.75" customHeight="1">
      <c r="A25" s="11" t="s">
        <v>183</v>
      </c>
      <c r="B25" s="12" t="s">
        <v>90</v>
      </c>
      <c r="C25" s="184"/>
      <c r="D25" s="185"/>
      <c r="E25" s="185"/>
      <c r="F25" s="185"/>
    </row>
    <row r="26" spans="1:6" ht="16.5" customHeight="1">
      <c r="A26" s="9" t="s">
        <v>22</v>
      </c>
      <c r="B26" s="10" t="s">
        <v>23</v>
      </c>
      <c r="C26" s="184"/>
      <c r="D26" s="185"/>
      <c r="E26" s="185"/>
      <c r="F26" s="185"/>
    </row>
    <row r="27" spans="1:6">
      <c r="A27" s="11" t="s">
        <v>184</v>
      </c>
      <c r="B27" s="12" t="s">
        <v>185</v>
      </c>
      <c r="C27" s="186"/>
      <c r="D27" s="187"/>
      <c r="E27" s="187"/>
      <c r="F27" s="187"/>
    </row>
    <row r="28" spans="1:6" ht="14.25" customHeight="1">
      <c r="A28" s="13" t="s">
        <v>26</v>
      </c>
      <c r="B28" s="182" t="s">
        <v>27</v>
      </c>
      <c r="C28" s="183"/>
      <c r="D28" s="34" t="s">
        <v>28</v>
      </c>
      <c r="E28" s="14" t="s">
        <v>29</v>
      </c>
      <c r="F28" s="17" t="s">
        <v>30</v>
      </c>
    </row>
    <row r="29" spans="1:6" ht="12" customHeight="1">
      <c r="A29" s="6"/>
      <c r="B29" s="28"/>
      <c r="C29" s="28"/>
      <c r="D29" s="28" t="s">
        <v>31</v>
      </c>
      <c r="E29" s="28" t="s">
        <v>32</v>
      </c>
      <c r="F29" s="35" t="s">
        <v>33</v>
      </c>
    </row>
    <row r="30" spans="1:6" ht="6" customHeight="1">
      <c r="A30" s="152"/>
      <c r="B30" s="152"/>
      <c r="C30" s="152"/>
      <c r="D30" s="152"/>
      <c r="E30" s="152"/>
      <c r="F30" s="152"/>
    </row>
    <row r="31" spans="1:6" ht="15.75" customHeight="1">
      <c r="A31" s="6"/>
      <c r="B31" s="6"/>
      <c r="C31" s="6"/>
      <c r="D31" s="6" t="s">
        <v>93</v>
      </c>
      <c r="E31" s="153" t="s">
        <v>186</v>
      </c>
      <c r="F31" s="153"/>
    </row>
    <row r="32" spans="1:6" ht="11.25" customHeight="1">
      <c r="A32" s="27"/>
      <c r="B32" s="153"/>
      <c r="C32" s="153"/>
      <c r="D32" s="6"/>
    </row>
    <row r="33" spans="1:7" ht="15" customHeight="1">
      <c r="A33" s="36" t="s">
        <v>95</v>
      </c>
      <c r="B33" s="7" t="s">
        <v>187</v>
      </c>
      <c r="C33" s="22"/>
      <c r="D33" s="38">
        <v>60.89</v>
      </c>
      <c r="E33" s="38">
        <v>330</v>
      </c>
      <c r="F33" s="38">
        <f>D33*E33</f>
        <v>20093.7</v>
      </c>
      <c r="G33" s="39"/>
    </row>
    <row r="34" spans="1:7" ht="15" customHeight="1">
      <c r="A34" s="27"/>
      <c r="B34" s="21" t="s">
        <v>188</v>
      </c>
      <c r="C34" s="21"/>
      <c r="D34" s="21"/>
      <c r="E34" s="40"/>
      <c r="F34" s="40"/>
    </row>
    <row r="35" spans="1:7" ht="15" customHeight="1">
      <c r="A35" s="27"/>
      <c r="B35" s="21" t="s">
        <v>98</v>
      </c>
      <c r="C35" s="21"/>
      <c r="D35" s="21"/>
      <c r="E35" s="40"/>
      <c r="F35" s="40"/>
    </row>
    <row r="36" spans="1:7" ht="15" customHeight="1">
      <c r="A36" s="27"/>
      <c r="B36" s="153" t="s">
        <v>99</v>
      </c>
      <c r="C36" s="153"/>
      <c r="D36" s="153"/>
      <c r="E36" s="153"/>
      <c r="F36" s="153"/>
    </row>
    <row r="37" spans="1:7" ht="15" customHeight="1">
      <c r="A37" s="27"/>
      <c r="B37" s="27"/>
      <c r="C37" s="27"/>
      <c r="D37" s="26"/>
      <c r="E37" s="41"/>
      <c r="F37" s="26"/>
    </row>
    <row r="38" spans="1:7" ht="15" customHeight="1">
      <c r="A38" s="27"/>
      <c r="B38" s="27"/>
      <c r="C38" s="27"/>
      <c r="D38" s="26"/>
      <c r="E38" s="41"/>
      <c r="F38" s="26"/>
    </row>
    <row r="39" spans="1:7" ht="15" customHeight="1">
      <c r="A39" s="153"/>
      <c r="B39" s="153"/>
      <c r="C39" s="7"/>
      <c r="D39" s="28"/>
      <c r="E39" s="21"/>
      <c r="F39" s="21"/>
    </row>
    <row r="40" spans="1:7" ht="15" customHeight="1">
      <c r="A40" s="156"/>
      <c r="B40" s="156"/>
      <c r="C40" s="29"/>
      <c r="D40" s="29"/>
      <c r="E40" s="30"/>
      <c r="F40" s="30"/>
    </row>
    <row r="41" spans="1:7" ht="15" customHeight="1">
      <c r="A41" s="21"/>
      <c r="B41" s="28" t="s">
        <v>37</v>
      </c>
      <c r="C41" s="28"/>
      <c r="D41" s="42" t="s">
        <v>189</v>
      </c>
      <c r="E41" s="28" t="s">
        <v>190</v>
      </c>
      <c r="F41" s="65">
        <f>F33</f>
        <v>20093.7</v>
      </c>
    </row>
    <row r="42" spans="1:7" ht="15" customHeight="1">
      <c r="A42" s="21"/>
      <c r="B42" s="28"/>
      <c r="C42" s="28"/>
      <c r="D42" s="28"/>
      <c r="E42" s="28"/>
      <c r="F42" s="28"/>
    </row>
    <row r="43" spans="1:7" ht="21.75" customHeight="1">
      <c r="A43" s="21"/>
      <c r="B43" s="28"/>
      <c r="C43" s="28"/>
      <c r="D43" s="28"/>
      <c r="E43" s="28"/>
      <c r="F43" s="21"/>
    </row>
    <row r="44" spans="1:7">
      <c r="A44" s="152"/>
      <c r="B44" s="152"/>
      <c r="C44" s="152"/>
      <c r="D44" s="152"/>
      <c r="E44" s="152"/>
      <c r="F44" s="152"/>
    </row>
    <row r="45" spans="1:7">
      <c r="A45" s="43"/>
    </row>
    <row r="50" spans="5:5">
      <c r="E50" s="44" t="s">
        <v>38</v>
      </c>
    </row>
  </sheetData>
  <mergeCells count="29">
    <mergeCell ref="A40:B40"/>
    <mergeCell ref="A44:F44"/>
    <mergeCell ref="C17:F27"/>
    <mergeCell ref="A2:F9"/>
    <mergeCell ref="A30:F30"/>
    <mergeCell ref="E31:F31"/>
    <mergeCell ref="B32:C32"/>
    <mergeCell ref="B36:F36"/>
    <mergeCell ref="A39:B39"/>
    <mergeCell ref="A20:B20"/>
    <mergeCell ref="A21:B21"/>
    <mergeCell ref="A22:B22"/>
    <mergeCell ref="A23:B23"/>
    <mergeCell ref="B28:C28"/>
    <mergeCell ref="A16:B16"/>
    <mergeCell ref="C16:F16"/>
    <mergeCell ref="A17:B17"/>
    <mergeCell ref="A18:B18"/>
    <mergeCell ref="A19:B19"/>
    <mergeCell ref="A13:B13"/>
    <mergeCell ref="C13:F13"/>
    <mergeCell ref="A14:B14"/>
    <mergeCell ref="C14:F14"/>
    <mergeCell ref="C15:F15"/>
    <mergeCell ref="A10:B10"/>
    <mergeCell ref="A11:B11"/>
    <mergeCell ref="C11:F11"/>
    <mergeCell ref="A12:B12"/>
    <mergeCell ref="C12:F12"/>
  </mergeCells>
  <phoneticPr fontId="25" type="noConversion"/>
  <pageMargins left="0.70866141732283505" right="0.70866141732283505" top="0.74803149606299202" bottom="0.74803149606299202" header="0.31496062992126" footer="0.31496062992126"/>
  <pageSetup paperSize="9" scale="8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47"/>
  <sheetViews>
    <sheetView topLeftCell="A19" workbookViewId="0">
      <selection activeCell="B28" sqref="B28:C28"/>
    </sheetView>
  </sheetViews>
  <sheetFormatPr defaultColWidth="9" defaultRowHeight="12"/>
  <cols>
    <col min="1" max="1" width="21.19921875" style="1" customWidth="1"/>
    <col min="2" max="2" width="19.19921875" style="1" customWidth="1"/>
    <col min="3" max="3" width="5.69921875" style="1" customWidth="1"/>
    <col min="4" max="4" width="7.796875" style="1" customWidth="1"/>
    <col min="5" max="5" width="9.8984375" style="1" customWidth="1"/>
    <col min="6" max="6" width="11.09765625" style="1" customWidth="1"/>
    <col min="7" max="7" width="11.59765625" style="1" customWidth="1"/>
    <col min="8" max="16384" width="9" style="1"/>
  </cols>
  <sheetData>
    <row r="2" spans="1:7" ht="14.25" customHeight="1">
      <c r="A2" s="157" t="s">
        <v>39</v>
      </c>
      <c r="B2" s="157"/>
      <c r="C2" s="157"/>
      <c r="D2" s="157"/>
      <c r="E2" s="157"/>
      <c r="F2" s="157"/>
      <c r="G2" s="157"/>
    </row>
    <row r="3" spans="1:7" ht="14.25" customHeight="1">
      <c r="A3" s="157"/>
      <c r="B3" s="157"/>
      <c r="C3" s="157"/>
      <c r="D3" s="157"/>
      <c r="E3" s="157"/>
      <c r="F3" s="157"/>
      <c r="G3" s="157"/>
    </row>
    <row r="4" spans="1:7" ht="14.25" customHeight="1">
      <c r="A4" s="157"/>
      <c r="B4" s="157"/>
      <c r="C4" s="157"/>
      <c r="D4" s="157"/>
      <c r="E4" s="157"/>
      <c r="F4" s="157"/>
      <c r="G4" s="157"/>
    </row>
    <row r="5" spans="1:7" ht="12" customHeight="1">
      <c r="A5" s="157"/>
      <c r="B5" s="157"/>
      <c r="C5" s="157"/>
      <c r="D5" s="157"/>
      <c r="E5" s="157"/>
      <c r="F5" s="157"/>
      <c r="G5" s="157"/>
    </row>
    <row r="6" spans="1:7" ht="17.399999999999999" customHeight="1">
      <c r="A6" s="172"/>
      <c r="B6" s="172"/>
      <c r="C6" s="172"/>
      <c r="D6" s="172"/>
      <c r="E6" s="172"/>
      <c r="F6" s="172"/>
      <c r="G6" s="172"/>
    </row>
    <row r="7" spans="1:7" customFormat="1" ht="17.399999999999999" customHeight="1">
      <c r="A7" s="177" t="s">
        <v>1</v>
      </c>
      <c r="B7" s="177"/>
      <c r="C7" s="188" t="s">
        <v>2</v>
      </c>
      <c r="D7" s="189"/>
      <c r="E7" s="189"/>
      <c r="F7" s="189"/>
      <c r="G7" s="189"/>
    </row>
    <row r="8" spans="1:7" customFormat="1" ht="17.399999999999999" customHeight="1">
      <c r="A8" s="178" t="s">
        <v>3</v>
      </c>
      <c r="B8" s="178"/>
      <c r="C8" s="190" t="s">
        <v>178</v>
      </c>
      <c r="D8" s="180"/>
      <c r="E8" s="180"/>
      <c r="F8" s="180"/>
      <c r="G8" s="180"/>
    </row>
    <row r="9" spans="1:7" customFormat="1" ht="17.399999999999999" customHeight="1">
      <c r="A9" s="178" t="s">
        <v>5</v>
      </c>
      <c r="B9" s="178"/>
      <c r="C9" s="190"/>
      <c r="D9" s="180"/>
      <c r="E9" s="180"/>
      <c r="F9" s="180"/>
      <c r="G9" s="180"/>
    </row>
    <row r="10" spans="1:7" customFormat="1" ht="17.399999999999999" customHeight="1">
      <c r="A10" s="179" t="s">
        <v>7</v>
      </c>
      <c r="B10" s="179"/>
      <c r="C10" s="191"/>
      <c r="D10" s="192"/>
      <c r="E10" s="192"/>
      <c r="F10" s="192"/>
      <c r="G10" s="192"/>
    </row>
    <row r="11" spans="1:7" customFormat="1" ht="17.399999999999999" customHeight="1">
      <c r="A11" s="45" t="s">
        <v>10</v>
      </c>
      <c r="B11" s="45"/>
      <c r="C11" s="193"/>
      <c r="D11" s="194"/>
      <c r="E11" s="194"/>
      <c r="F11" s="194"/>
      <c r="G11" s="194"/>
    </row>
    <row r="12" spans="1:7" customFormat="1" ht="17.399999999999999" customHeight="1">
      <c r="A12" s="146" t="s">
        <v>179</v>
      </c>
      <c r="B12" s="146"/>
      <c r="C12" s="199" t="s">
        <v>103</v>
      </c>
      <c r="D12" s="153"/>
      <c r="E12" s="153"/>
      <c r="F12" s="153"/>
      <c r="G12" s="153"/>
    </row>
    <row r="13" spans="1:7" customFormat="1" ht="17.399999999999999" customHeight="1">
      <c r="A13" s="146" t="s">
        <v>181</v>
      </c>
      <c r="B13" s="146"/>
      <c r="C13" s="199"/>
      <c r="D13" s="153"/>
      <c r="E13" s="153"/>
      <c r="F13" s="153"/>
      <c r="G13" s="153"/>
    </row>
    <row r="14" spans="1:7" customFormat="1" ht="17.399999999999999" customHeight="1">
      <c r="A14" s="180" t="s">
        <v>182</v>
      </c>
      <c r="B14" s="181"/>
      <c r="C14" s="199"/>
      <c r="D14" s="153"/>
      <c r="E14" s="153"/>
      <c r="F14" s="153"/>
      <c r="G14" s="153"/>
    </row>
    <row r="15" spans="1:7" customFormat="1" ht="17.399999999999999" customHeight="1">
      <c r="A15" s="180"/>
      <c r="B15" s="180"/>
      <c r="C15" s="199"/>
      <c r="D15" s="153"/>
      <c r="E15" s="153"/>
      <c r="F15" s="153"/>
      <c r="G15" s="153"/>
    </row>
    <row r="16" spans="1:7" customFormat="1" ht="17.399999999999999" customHeight="1">
      <c r="A16" s="177" t="s">
        <v>16</v>
      </c>
      <c r="B16" s="177"/>
      <c r="C16" s="199"/>
      <c r="D16" s="153"/>
      <c r="E16" s="153"/>
      <c r="F16" s="153"/>
      <c r="G16" s="153"/>
    </row>
    <row r="17" spans="1:7" customFormat="1" ht="17.399999999999999" customHeight="1">
      <c r="A17" s="146" t="s">
        <v>179</v>
      </c>
      <c r="B17" s="146"/>
      <c r="C17" s="161"/>
      <c r="D17" s="153"/>
      <c r="E17" s="153"/>
      <c r="F17" s="153"/>
      <c r="G17" s="153"/>
    </row>
    <row r="18" spans="1:7" customFormat="1" ht="18.45" customHeight="1">
      <c r="A18" s="146" t="s">
        <v>181</v>
      </c>
      <c r="B18" s="146"/>
      <c r="C18" s="199"/>
      <c r="D18" s="153"/>
      <c r="E18" s="153"/>
      <c r="F18" s="153"/>
      <c r="G18" s="153"/>
    </row>
    <row r="19" spans="1:7" customFormat="1" ht="17.399999999999999" customHeight="1">
      <c r="A19" s="180" t="s">
        <v>182</v>
      </c>
      <c r="B19" s="181"/>
      <c r="C19" s="199"/>
      <c r="D19" s="153"/>
      <c r="E19" s="153"/>
      <c r="F19" s="153"/>
      <c r="G19" s="153"/>
    </row>
    <row r="20" spans="1:7" customFormat="1" ht="17.399999999999999" customHeight="1">
      <c r="A20" s="9" t="s">
        <v>18</v>
      </c>
      <c r="B20" s="10" t="s">
        <v>19</v>
      </c>
      <c r="C20" s="199"/>
      <c r="D20" s="153"/>
      <c r="E20" s="153"/>
      <c r="F20" s="153"/>
      <c r="G20" s="153"/>
    </row>
    <row r="21" spans="1:7" customFormat="1" ht="17.399999999999999" customHeight="1">
      <c r="A21" s="11" t="s">
        <v>183</v>
      </c>
      <c r="B21" s="12" t="s">
        <v>90</v>
      </c>
      <c r="C21" s="199"/>
      <c r="D21" s="153"/>
      <c r="E21" s="153"/>
      <c r="F21" s="153"/>
      <c r="G21" s="153"/>
    </row>
    <row r="22" spans="1:7" customFormat="1" ht="17.399999999999999" customHeight="1">
      <c r="A22" s="9" t="s">
        <v>22</v>
      </c>
      <c r="B22" s="10" t="s">
        <v>23</v>
      </c>
      <c r="C22" s="199"/>
      <c r="D22" s="153"/>
      <c r="E22" s="153"/>
      <c r="F22" s="153"/>
      <c r="G22" s="153"/>
    </row>
    <row r="23" spans="1:7" customFormat="1" ht="15" customHeight="1">
      <c r="A23" s="11" t="s">
        <v>184</v>
      </c>
      <c r="B23" s="12" t="s">
        <v>185</v>
      </c>
      <c r="C23" s="200"/>
      <c r="D23" s="201"/>
      <c r="E23" s="201"/>
      <c r="F23" s="201"/>
      <c r="G23" s="201"/>
    </row>
    <row r="24" spans="1:7" customFormat="1" ht="22.95" customHeight="1">
      <c r="A24" s="46" t="s">
        <v>26</v>
      </c>
      <c r="B24" s="195" t="s">
        <v>27</v>
      </c>
      <c r="C24" s="196"/>
      <c r="D24" s="47" t="s">
        <v>106</v>
      </c>
      <c r="E24" s="48" t="s">
        <v>107</v>
      </c>
      <c r="F24" s="49" t="s">
        <v>108</v>
      </c>
      <c r="G24" s="50" t="s">
        <v>109</v>
      </c>
    </row>
    <row r="25" spans="1:7" customFormat="1" ht="17.399999999999999" customHeight="1">
      <c r="A25" s="4"/>
      <c r="B25" s="19"/>
      <c r="C25" s="19"/>
      <c r="D25" s="20"/>
      <c r="E25" s="19"/>
      <c r="F25" s="19"/>
      <c r="G25" s="20"/>
    </row>
    <row r="26" spans="1:7" ht="11.25" customHeight="1">
      <c r="A26"/>
      <c r="B26" s="7" t="s">
        <v>191</v>
      </c>
      <c r="C26" s="68"/>
      <c r="D26" s="166"/>
      <c r="E26" s="166"/>
      <c r="F26" s="69"/>
      <c r="G26" s="69"/>
    </row>
    <row r="27" spans="1:7" ht="12" customHeight="1">
      <c r="A27" s="21" t="s">
        <v>34</v>
      </c>
      <c r="B27" s="21" t="s">
        <v>188</v>
      </c>
      <c r="C27" s="26"/>
      <c r="D27" s="158"/>
      <c r="E27" s="158"/>
      <c r="F27" s="24"/>
      <c r="G27" s="24"/>
    </row>
    <row r="28" spans="1:7" ht="12" customHeight="1">
      <c r="A28" s="27"/>
      <c r="B28" s="22"/>
      <c r="C28" s="28"/>
      <c r="D28" s="21"/>
      <c r="E28" s="21"/>
      <c r="F28" s="21"/>
      <c r="G28" s="21"/>
    </row>
    <row r="29" spans="1:7" ht="11.25" customHeight="1">
      <c r="A29" s="27"/>
      <c r="B29" s="168" t="s">
        <v>192</v>
      </c>
      <c r="C29" s="168"/>
      <c r="D29" s="168"/>
      <c r="E29" s="70" t="s">
        <v>193</v>
      </c>
      <c r="F29" s="70" t="s">
        <v>194</v>
      </c>
      <c r="G29" s="21"/>
    </row>
    <row r="30" spans="1:7" ht="11.25" customHeight="1">
      <c r="A30" s="21"/>
      <c r="B30" s="168" t="s">
        <v>195</v>
      </c>
      <c r="C30" s="168"/>
      <c r="D30" s="168"/>
      <c r="E30" s="71">
        <v>20280</v>
      </c>
      <c r="F30" s="71">
        <f>E30+100</f>
        <v>20380</v>
      </c>
      <c r="G30" s="72"/>
    </row>
    <row r="31" spans="1:7" ht="11.25" customHeight="1">
      <c r="A31" s="21"/>
      <c r="B31" s="233" t="s">
        <v>196</v>
      </c>
      <c r="C31" s="233"/>
      <c r="D31" s="233"/>
      <c r="E31" s="71">
        <v>20850</v>
      </c>
      <c r="F31" s="71">
        <f>E31+100</f>
        <v>20950</v>
      </c>
      <c r="G31" s="72"/>
    </row>
    <row r="32" spans="1:7" ht="11.25" customHeight="1">
      <c r="A32" s="21"/>
      <c r="B32" s="234" t="s">
        <v>197</v>
      </c>
      <c r="C32" s="234"/>
      <c r="D32" s="234"/>
      <c r="E32" s="71">
        <v>19760</v>
      </c>
      <c r="F32" s="71">
        <f>E32+100</f>
        <v>19860</v>
      </c>
      <c r="G32" s="72"/>
    </row>
    <row r="33" spans="1:7" ht="11.25" customHeight="1">
      <c r="A33" s="21"/>
      <c r="B33" s="73"/>
      <c r="C33" s="74"/>
      <c r="D33" s="75"/>
      <c r="E33" s="75"/>
      <c r="F33" s="75"/>
      <c r="G33" s="72"/>
    </row>
    <row r="34" spans="1:7" ht="11.25" customHeight="1">
      <c r="A34" s="21"/>
      <c r="B34" s="56"/>
      <c r="C34" s="76"/>
      <c r="D34" s="72"/>
      <c r="E34" s="72"/>
      <c r="F34" s="72"/>
      <c r="G34" s="72"/>
    </row>
    <row r="35" spans="1:7" ht="11.25" customHeight="1">
      <c r="A35" s="156"/>
      <c r="B35" s="156"/>
      <c r="C35" s="29"/>
      <c r="D35" s="30"/>
      <c r="E35" s="30"/>
      <c r="F35" s="30"/>
      <c r="G35" s="21"/>
    </row>
    <row r="36" spans="1:7" ht="11.7" customHeight="1">
      <c r="A36" s="27"/>
      <c r="B36" s="27" t="s">
        <v>37</v>
      </c>
      <c r="C36" s="27"/>
      <c r="D36" s="27" t="s">
        <v>198</v>
      </c>
      <c r="E36" s="77" t="s">
        <v>199</v>
      </c>
      <c r="F36" s="77" t="s">
        <v>200</v>
      </c>
      <c r="G36" s="78"/>
    </row>
    <row r="37" spans="1:7">
      <c r="A37" s="21"/>
      <c r="C37" s="56"/>
      <c r="D37" s="56"/>
      <c r="E37" s="28"/>
      <c r="F37" s="28"/>
      <c r="G37" s="28"/>
    </row>
    <row r="38" spans="1:7">
      <c r="A38" s="21"/>
      <c r="B38" s="57"/>
      <c r="C38" s="56"/>
      <c r="D38" s="56"/>
      <c r="E38" s="28"/>
      <c r="F38" s="28"/>
      <c r="G38" s="28"/>
    </row>
    <row r="39" spans="1:7">
      <c r="B39" s="56"/>
      <c r="C39" s="56"/>
      <c r="D39" s="56"/>
      <c r="E39" s="21" t="s">
        <v>116</v>
      </c>
      <c r="F39" s="21"/>
      <c r="G39" s="21"/>
    </row>
    <row r="40" spans="1:7">
      <c r="A40" s="21" t="s">
        <v>117</v>
      </c>
      <c r="B40" s="8"/>
      <c r="C40" s="8"/>
      <c r="D40" s="21"/>
      <c r="E40" s="21"/>
      <c r="F40" s="21"/>
      <c r="G40" s="21"/>
    </row>
    <row r="41" spans="1:7" ht="36" customHeight="1">
      <c r="A41" s="21"/>
      <c r="B41" s="146"/>
      <c r="C41" s="146"/>
      <c r="D41" s="146"/>
      <c r="E41" s="146"/>
      <c r="F41" s="146"/>
      <c r="G41" s="146"/>
    </row>
    <row r="42" spans="1:7">
      <c r="A42" s="8"/>
      <c r="B42" s="8"/>
      <c r="C42" s="8"/>
      <c r="D42" s="8"/>
      <c r="E42" s="8"/>
      <c r="F42" s="8"/>
      <c r="G42" s="8"/>
    </row>
    <row r="43" spans="1:7">
      <c r="A43" s="198"/>
      <c r="B43" s="198"/>
      <c r="C43" s="198"/>
      <c r="D43" s="198"/>
      <c r="E43" s="198"/>
      <c r="F43" s="198"/>
      <c r="G43" s="198"/>
    </row>
    <row r="47" spans="1:7">
      <c r="E47" s="32" t="s">
        <v>118</v>
      </c>
      <c r="F47" s="32"/>
    </row>
  </sheetData>
  <mergeCells count="29">
    <mergeCell ref="A43:G43"/>
    <mergeCell ref="C12:G23"/>
    <mergeCell ref="A2:G6"/>
    <mergeCell ref="B30:D30"/>
    <mergeCell ref="B31:D31"/>
    <mergeCell ref="B32:D32"/>
    <mergeCell ref="A35:B35"/>
    <mergeCell ref="B41:G41"/>
    <mergeCell ref="A19:B19"/>
    <mergeCell ref="B24:C24"/>
    <mergeCell ref="D26:E26"/>
    <mergeCell ref="D27:E27"/>
    <mergeCell ref="B29:D29"/>
    <mergeCell ref="A14:B14"/>
    <mergeCell ref="A15:B15"/>
    <mergeCell ref="A16:B16"/>
    <mergeCell ref="A17:B17"/>
    <mergeCell ref="A18:B18"/>
    <mergeCell ref="A10:B10"/>
    <mergeCell ref="C10:G10"/>
    <mergeCell ref="C11:G11"/>
    <mergeCell ref="A12:B12"/>
    <mergeCell ref="A13:B13"/>
    <mergeCell ref="A7:B7"/>
    <mergeCell ref="C7:G7"/>
    <mergeCell ref="A8:B8"/>
    <mergeCell ref="C8:G8"/>
    <mergeCell ref="A9:B9"/>
    <mergeCell ref="C9:G9"/>
  </mergeCells>
  <phoneticPr fontId="25" type="noConversion"/>
  <printOptions horizontalCentered="1"/>
  <pageMargins left="0.47244094488188998" right="0.47244094488188998" top="0.74803149606299202" bottom="0.74803149606299202" header="0.31496062992126" footer="0.31496062992126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G49"/>
  <sheetViews>
    <sheetView view="pageBreakPreview" zoomScale="60" zoomScaleNormal="100" workbookViewId="0">
      <selection activeCell="A51" sqref="A51:A52"/>
    </sheetView>
  </sheetViews>
  <sheetFormatPr defaultColWidth="9" defaultRowHeight="15.6"/>
  <cols>
    <col min="1" max="1" width="22.69921875" customWidth="1"/>
    <col min="2" max="2" width="24.5" customWidth="1"/>
    <col min="3" max="3" width="9" customWidth="1"/>
    <col min="4" max="4" width="11.59765625" customWidth="1"/>
    <col min="5" max="5" width="14.09765625" customWidth="1"/>
    <col min="6" max="6" width="11.59765625" customWidth="1"/>
    <col min="7" max="7" width="12.69921875" customWidth="1"/>
  </cols>
  <sheetData>
    <row r="2" spans="1:7">
      <c r="A2" s="157" t="s">
        <v>148</v>
      </c>
      <c r="B2" s="157"/>
      <c r="C2" s="157"/>
      <c r="D2" s="157"/>
      <c r="E2" s="157"/>
      <c r="F2" s="157"/>
      <c r="G2" s="8"/>
    </row>
    <row r="3" spans="1:7">
      <c r="A3" s="157"/>
      <c r="B3" s="157"/>
      <c r="C3" s="157"/>
      <c r="D3" s="157"/>
      <c r="E3" s="157"/>
      <c r="F3" s="157"/>
      <c r="G3" s="8"/>
    </row>
    <row r="4" spans="1:7">
      <c r="A4" s="157"/>
      <c r="B4" s="157"/>
      <c r="C4" s="157"/>
      <c r="D4" s="157"/>
      <c r="E4" s="157"/>
      <c r="F4" s="157"/>
      <c r="G4" s="8"/>
    </row>
    <row r="5" spans="1:7">
      <c r="A5" s="157"/>
      <c r="B5" s="157"/>
      <c r="C5" s="157"/>
      <c r="D5" s="157"/>
      <c r="E5" s="157"/>
      <c r="F5" s="157"/>
      <c r="G5" s="1"/>
    </row>
    <row r="6" spans="1:7" ht="15.75" customHeight="1">
      <c r="A6" s="157"/>
      <c r="B6" s="157"/>
      <c r="C6" s="157"/>
      <c r="D6" s="157"/>
      <c r="E6" s="157"/>
      <c r="F6" s="157"/>
    </row>
    <row r="7" spans="1:7" ht="2.25" customHeight="1">
      <c r="A7" s="157"/>
      <c r="B7" s="157"/>
      <c r="C7" s="157"/>
      <c r="D7" s="157"/>
      <c r="E7" s="157"/>
      <c r="F7" s="157"/>
    </row>
    <row r="8" spans="1:7" ht="13.5" hidden="1" customHeight="1">
      <c r="A8" s="157"/>
      <c r="B8" s="157"/>
      <c r="C8" s="157"/>
      <c r="D8" s="157"/>
      <c r="E8" s="157"/>
      <c r="F8" s="157"/>
    </row>
    <row r="9" spans="1:7" ht="17.25" hidden="1" customHeight="1">
      <c r="A9" s="157"/>
      <c r="B9" s="157"/>
      <c r="C9" s="157"/>
      <c r="D9" s="157"/>
      <c r="E9" s="157"/>
      <c r="F9" s="157"/>
    </row>
    <row r="10" spans="1:7" ht="13.5" customHeight="1">
      <c r="A10" s="146"/>
      <c r="B10" s="147"/>
      <c r="C10" s="4"/>
    </row>
    <row r="11" spans="1:7" ht="15" customHeight="1">
      <c r="A11" s="177" t="s">
        <v>1</v>
      </c>
      <c r="B11" s="177"/>
      <c r="C11" s="133" t="s">
        <v>2</v>
      </c>
      <c r="D11" s="131"/>
      <c r="E11" s="131"/>
      <c r="F11" s="131"/>
    </row>
    <row r="12" spans="1:7" ht="12" customHeight="1">
      <c r="A12" s="178" t="s">
        <v>3</v>
      </c>
      <c r="B12" s="178"/>
      <c r="C12" s="144"/>
      <c r="D12" s="145"/>
      <c r="E12" s="145"/>
      <c r="F12" s="145"/>
    </row>
    <row r="13" spans="1:7" ht="14.25" customHeight="1">
      <c r="A13" s="178" t="s">
        <v>5</v>
      </c>
      <c r="B13" s="178"/>
      <c r="C13" s="137" t="s">
        <v>201</v>
      </c>
      <c r="D13" s="138"/>
      <c r="E13" s="138"/>
      <c r="F13" s="138"/>
    </row>
    <row r="14" spans="1:7" ht="17.25" customHeight="1">
      <c r="A14" s="179" t="s">
        <v>7</v>
      </c>
      <c r="B14" s="179"/>
      <c r="C14" s="139" t="s">
        <v>202</v>
      </c>
      <c r="D14" s="134"/>
      <c r="E14" s="134"/>
      <c r="F14" s="134"/>
    </row>
    <row r="15" spans="1:7" ht="15" customHeight="1">
      <c r="A15" s="45" t="s">
        <v>10</v>
      </c>
      <c r="B15" s="45"/>
      <c r="C15" s="133" t="s">
        <v>9</v>
      </c>
      <c r="D15" s="131"/>
      <c r="E15" s="143"/>
      <c r="F15" s="143"/>
    </row>
    <row r="16" spans="1:7" ht="14.25" customHeight="1">
      <c r="A16" s="146" t="s">
        <v>203</v>
      </c>
      <c r="B16" s="147"/>
      <c r="C16" s="144" t="s">
        <v>204</v>
      </c>
      <c r="D16" s="145"/>
      <c r="E16" s="145"/>
      <c r="F16" s="145"/>
    </row>
    <row r="17" spans="1:6" ht="14.25" customHeight="1">
      <c r="A17" s="146" t="s">
        <v>205</v>
      </c>
      <c r="B17" s="147"/>
      <c r="C17" s="184"/>
      <c r="D17" s="185"/>
      <c r="E17" s="185"/>
      <c r="F17" s="185"/>
    </row>
    <row r="18" spans="1:6" ht="14.25" customHeight="1">
      <c r="A18" s="134" t="s">
        <v>206</v>
      </c>
      <c r="B18" s="140"/>
      <c r="C18" s="184"/>
      <c r="D18" s="185"/>
      <c r="E18" s="185"/>
      <c r="F18" s="185"/>
    </row>
    <row r="19" spans="1:6" ht="6.75" customHeight="1">
      <c r="A19" s="180"/>
      <c r="B19" s="180"/>
      <c r="C19" s="184"/>
      <c r="D19" s="185"/>
      <c r="E19" s="185"/>
      <c r="F19" s="185"/>
    </row>
    <row r="20" spans="1:6" ht="14.25" customHeight="1">
      <c r="A20" s="177" t="s">
        <v>16</v>
      </c>
      <c r="B20" s="177"/>
      <c r="C20" s="184"/>
      <c r="D20" s="185"/>
      <c r="E20" s="185"/>
      <c r="F20" s="185"/>
    </row>
    <row r="21" spans="1:6" ht="14.25" customHeight="1">
      <c r="A21" s="146" t="s">
        <v>17</v>
      </c>
      <c r="B21" s="146"/>
      <c r="C21" s="184"/>
      <c r="D21" s="185"/>
      <c r="E21" s="185"/>
      <c r="F21" s="185"/>
    </row>
    <row r="22" spans="1:6" ht="14.25" customHeight="1">
      <c r="A22" s="146"/>
      <c r="B22" s="146"/>
      <c r="C22" s="184"/>
      <c r="D22" s="185"/>
      <c r="E22" s="185"/>
      <c r="F22" s="185"/>
    </row>
    <row r="23" spans="1:6" ht="14.25" customHeight="1">
      <c r="A23" s="146"/>
      <c r="B23" s="147"/>
      <c r="C23" s="184"/>
      <c r="D23" s="185"/>
      <c r="E23" s="185"/>
      <c r="F23" s="185"/>
    </row>
    <row r="24" spans="1:6">
      <c r="A24" s="9" t="s">
        <v>18</v>
      </c>
      <c r="B24" s="10" t="s">
        <v>19</v>
      </c>
      <c r="C24" s="184"/>
      <c r="D24" s="185"/>
      <c r="E24" s="185"/>
      <c r="F24" s="185"/>
    </row>
    <row r="25" spans="1:6" ht="21.75" customHeight="1">
      <c r="A25" s="11" t="s">
        <v>207</v>
      </c>
      <c r="B25" s="11" t="s">
        <v>157</v>
      </c>
      <c r="C25" s="184"/>
      <c r="D25" s="185"/>
      <c r="E25" s="185"/>
      <c r="F25" s="185"/>
    </row>
    <row r="26" spans="1:6" ht="16.5" customHeight="1">
      <c r="A26" s="9" t="s">
        <v>22</v>
      </c>
      <c r="B26" s="10" t="s">
        <v>23</v>
      </c>
      <c r="C26" s="184"/>
      <c r="D26" s="185"/>
      <c r="E26" s="185"/>
      <c r="F26" s="185"/>
    </row>
    <row r="27" spans="1:6">
      <c r="A27" s="11"/>
      <c r="B27" s="12" t="s">
        <v>208</v>
      </c>
      <c r="C27" s="186"/>
      <c r="D27" s="187"/>
      <c r="E27" s="187"/>
      <c r="F27" s="187"/>
    </row>
    <row r="28" spans="1:6" ht="14.25" customHeight="1">
      <c r="A28" s="13" t="s">
        <v>26</v>
      </c>
      <c r="B28" s="182" t="s">
        <v>27</v>
      </c>
      <c r="C28" s="183"/>
      <c r="D28" s="34" t="s">
        <v>28</v>
      </c>
      <c r="E28" s="14" t="s">
        <v>29</v>
      </c>
      <c r="F28" s="17" t="s">
        <v>30</v>
      </c>
    </row>
    <row r="29" spans="1:6" ht="12" customHeight="1">
      <c r="A29" s="6"/>
      <c r="B29" s="28"/>
      <c r="C29" s="28"/>
      <c r="D29" s="28" t="s">
        <v>31</v>
      </c>
      <c r="E29" s="28" t="s">
        <v>32</v>
      </c>
      <c r="F29" s="35" t="s">
        <v>33</v>
      </c>
    </row>
    <row r="30" spans="1:6" ht="6" customHeight="1">
      <c r="A30" s="152"/>
      <c r="B30" s="152"/>
      <c r="C30" s="152"/>
      <c r="D30" s="152"/>
      <c r="E30" s="152"/>
      <c r="F30" s="152"/>
    </row>
    <row r="31" spans="1:6" ht="15.75" customHeight="1">
      <c r="A31" s="6"/>
      <c r="B31" s="6"/>
      <c r="C31" s="6"/>
      <c r="D31" s="6" t="s">
        <v>93</v>
      </c>
      <c r="E31" s="153" t="s">
        <v>209</v>
      </c>
      <c r="F31" s="153"/>
    </row>
    <row r="32" spans="1:6" ht="11.25" customHeight="1">
      <c r="A32" s="27"/>
      <c r="B32" s="153"/>
      <c r="C32" s="153"/>
      <c r="D32" s="6"/>
    </row>
    <row r="33" spans="1:7" ht="15" customHeight="1">
      <c r="A33" s="36" t="s">
        <v>95</v>
      </c>
      <c r="B33" s="7" t="s">
        <v>210</v>
      </c>
      <c r="C33" s="22"/>
      <c r="D33" s="38">
        <v>22</v>
      </c>
      <c r="E33" s="38">
        <v>1300</v>
      </c>
      <c r="F33" s="38">
        <f>D33*E33</f>
        <v>28600</v>
      </c>
      <c r="G33" s="39"/>
    </row>
    <row r="34" spans="1:7" ht="15" customHeight="1">
      <c r="A34" s="27"/>
      <c r="B34" s="21" t="s">
        <v>36</v>
      </c>
      <c r="C34" s="21"/>
      <c r="D34" s="21" t="s">
        <v>211</v>
      </c>
      <c r="E34" s="40"/>
      <c r="F34" s="21" t="s">
        <v>211</v>
      </c>
    </row>
    <row r="35" spans="1:7" ht="15" customHeight="1">
      <c r="A35" s="27"/>
      <c r="B35" s="21"/>
      <c r="C35" s="21"/>
      <c r="D35" s="21"/>
      <c r="E35" s="40"/>
      <c r="F35" s="40"/>
    </row>
    <row r="36" spans="1:7" ht="15" customHeight="1">
      <c r="A36" s="27"/>
      <c r="B36" s="153" t="s">
        <v>99</v>
      </c>
      <c r="C36" s="153"/>
      <c r="D36" s="153"/>
      <c r="E36" s="153"/>
      <c r="F36" s="153"/>
    </row>
    <row r="37" spans="1:7" ht="15" customHeight="1">
      <c r="A37" s="27"/>
      <c r="B37" s="27"/>
      <c r="C37" s="27"/>
      <c r="D37" s="26"/>
      <c r="E37" s="41"/>
      <c r="F37" s="26"/>
    </row>
    <row r="38" spans="1:7" ht="15" customHeight="1">
      <c r="A38" s="27"/>
      <c r="B38" s="27"/>
      <c r="C38" s="27"/>
      <c r="D38" s="26"/>
      <c r="E38" s="41"/>
      <c r="F38" s="26"/>
    </row>
    <row r="39" spans="1:7" ht="15" customHeight="1">
      <c r="A39" s="153"/>
      <c r="B39" s="153"/>
      <c r="C39" s="7"/>
      <c r="D39" s="28"/>
      <c r="E39" s="21"/>
      <c r="F39" s="21"/>
    </row>
    <row r="40" spans="1:7" ht="15" customHeight="1">
      <c r="A40" s="156"/>
      <c r="B40" s="156"/>
      <c r="C40" s="29"/>
      <c r="D40" s="29"/>
      <c r="E40" s="30"/>
      <c r="F40" s="30"/>
    </row>
    <row r="41" spans="1:7" ht="15" customHeight="1">
      <c r="A41" s="21"/>
      <c r="B41" s="28" t="s">
        <v>37</v>
      </c>
      <c r="C41" s="28"/>
      <c r="D41" s="42">
        <f>D33</f>
        <v>22</v>
      </c>
      <c r="E41" s="28"/>
      <c r="F41" s="65">
        <f>F33</f>
        <v>28600</v>
      </c>
    </row>
    <row r="42" spans="1:7" ht="15" customHeight="1">
      <c r="A42" s="21"/>
      <c r="B42" s="28"/>
      <c r="C42" s="28"/>
      <c r="D42" s="28"/>
      <c r="E42" s="28"/>
      <c r="F42" s="28"/>
    </row>
    <row r="43" spans="1:7">
      <c r="A43" s="43"/>
    </row>
    <row r="47" spans="1:7" s="64" customFormat="1" ht="15.75" customHeight="1">
      <c r="A47" s="1" t="s">
        <v>176</v>
      </c>
      <c r="C47" s="1"/>
      <c r="D47" s="146" t="s">
        <v>203</v>
      </c>
      <c r="E47" s="146"/>
      <c r="F47" s="146"/>
    </row>
    <row r="48" spans="1:7">
      <c r="E48" s="44"/>
    </row>
    <row r="49" spans="1:5">
      <c r="A49" s="67"/>
      <c r="D49" s="67"/>
      <c r="E49" s="67"/>
    </row>
  </sheetData>
  <mergeCells count="29">
    <mergeCell ref="A40:B40"/>
    <mergeCell ref="D47:F47"/>
    <mergeCell ref="A2:F9"/>
    <mergeCell ref="C17:F27"/>
    <mergeCell ref="A30:F30"/>
    <mergeCell ref="E31:F31"/>
    <mergeCell ref="B32:C32"/>
    <mergeCell ref="B36:F36"/>
    <mergeCell ref="A39:B39"/>
    <mergeCell ref="A20:B20"/>
    <mergeCell ref="A21:B21"/>
    <mergeCell ref="A22:B22"/>
    <mergeCell ref="A23:B23"/>
    <mergeCell ref="B28:C28"/>
    <mergeCell ref="A16:B16"/>
    <mergeCell ref="C16:F16"/>
    <mergeCell ref="A17:B17"/>
    <mergeCell ref="A18:B18"/>
    <mergeCell ref="A19:B19"/>
    <mergeCell ref="A13:B13"/>
    <mergeCell ref="C13:F13"/>
    <mergeCell ref="A14:B14"/>
    <mergeCell ref="C14:F14"/>
    <mergeCell ref="C15:F15"/>
    <mergeCell ref="A10:B10"/>
    <mergeCell ref="A11:B11"/>
    <mergeCell ref="C11:F11"/>
    <mergeCell ref="A12:B12"/>
    <mergeCell ref="C12:F12"/>
  </mergeCells>
  <phoneticPr fontId="25" type="noConversion"/>
  <pageMargins left="0.70866141732283505" right="0.70866141732283505" top="0.74803149606299202" bottom="0.74803149606299202" header="0.31496062992126" footer="0.31496062992126"/>
  <pageSetup paperSize="9" scale="8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>
    <pageSetUpPr fitToPage="1"/>
  </sheetPr>
  <dimension ref="A2:G51"/>
  <sheetViews>
    <sheetView topLeftCell="A31" workbookViewId="0">
      <selection activeCell="G22" sqref="G22:G23"/>
    </sheetView>
  </sheetViews>
  <sheetFormatPr defaultColWidth="9" defaultRowHeight="15.6"/>
  <cols>
    <col min="1" max="1" width="22.69921875" customWidth="1"/>
    <col min="2" max="2" width="24.5" customWidth="1"/>
    <col min="3" max="3" width="9" customWidth="1"/>
    <col min="4" max="4" width="11.59765625" customWidth="1"/>
    <col min="5" max="5" width="14.09765625" customWidth="1"/>
    <col min="6" max="6" width="11.59765625" customWidth="1"/>
    <col min="7" max="7" width="12.69921875" customWidth="1"/>
  </cols>
  <sheetData>
    <row r="2" spans="1:7" ht="15.75" customHeight="1">
      <c r="A2" s="157" t="s">
        <v>0</v>
      </c>
      <c r="B2" s="157"/>
      <c r="C2" s="157"/>
      <c r="D2" s="157"/>
      <c r="E2" s="157"/>
      <c r="F2" s="157"/>
      <c r="G2" s="8"/>
    </row>
    <row r="3" spans="1:7" ht="15.75" customHeight="1">
      <c r="A3" s="157"/>
      <c r="B3" s="157"/>
      <c r="C3" s="157"/>
      <c r="D3" s="157"/>
      <c r="E3" s="157"/>
      <c r="F3" s="157"/>
      <c r="G3" s="8"/>
    </row>
    <row r="4" spans="1:7" ht="15.75" customHeight="1">
      <c r="A4" s="157"/>
      <c r="B4" s="157"/>
      <c r="C4" s="157"/>
      <c r="D4" s="157"/>
      <c r="E4" s="157"/>
      <c r="F4" s="157"/>
      <c r="G4" s="8"/>
    </row>
    <row r="5" spans="1:7" ht="15.75" customHeight="1">
      <c r="A5" s="157"/>
      <c r="B5" s="157"/>
      <c r="C5" s="157"/>
      <c r="D5" s="157"/>
      <c r="E5" s="157"/>
      <c r="F5" s="157"/>
      <c r="G5" s="1"/>
    </row>
    <row r="6" spans="1:7" ht="15.75" customHeight="1">
      <c r="A6" s="157"/>
      <c r="B6" s="157"/>
      <c r="C6" s="157"/>
      <c r="D6" s="157"/>
      <c r="E6" s="157"/>
      <c r="F6" s="157"/>
    </row>
    <row r="7" spans="1:7" ht="2.25" customHeight="1">
      <c r="A7" s="157"/>
      <c r="B7" s="157"/>
      <c r="C7" s="157"/>
      <c r="D7" s="157"/>
      <c r="E7" s="157"/>
      <c r="F7" s="157"/>
    </row>
    <row r="8" spans="1:7" ht="13.5" hidden="1" customHeight="1">
      <c r="A8" s="157"/>
      <c r="B8" s="157"/>
      <c r="C8" s="157"/>
      <c r="D8" s="157"/>
      <c r="E8" s="157"/>
      <c r="F8" s="157"/>
    </row>
    <row r="9" spans="1:7" ht="17.25" hidden="1" customHeight="1">
      <c r="A9" s="157"/>
      <c r="B9" s="157"/>
      <c r="C9" s="157"/>
      <c r="D9" s="157"/>
      <c r="E9" s="157"/>
      <c r="F9" s="157"/>
    </row>
    <row r="10" spans="1:7" ht="13.5" customHeight="1">
      <c r="A10" s="146"/>
      <c r="B10" s="147"/>
      <c r="C10" s="4"/>
    </row>
    <row r="11" spans="1:7" ht="15" customHeight="1">
      <c r="A11" s="177" t="s">
        <v>1</v>
      </c>
      <c r="B11" s="177"/>
      <c r="C11" s="133" t="s">
        <v>2</v>
      </c>
      <c r="D11" s="131"/>
      <c r="E11" s="131"/>
      <c r="F11" s="131"/>
    </row>
    <row r="12" spans="1:7" ht="12" customHeight="1">
      <c r="A12" s="178" t="s">
        <v>3</v>
      </c>
      <c r="B12" s="178"/>
      <c r="C12" s="144" t="s">
        <v>212</v>
      </c>
      <c r="D12" s="145"/>
      <c r="E12" s="145"/>
      <c r="F12" s="145"/>
    </row>
    <row r="13" spans="1:7" ht="14.25" customHeight="1">
      <c r="A13" s="178" t="s">
        <v>5</v>
      </c>
      <c r="B13" s="178"/>
      <c r="C13" s="137" t="s">
        <v>86</v>
      </c>
      <c r="D13" s="138"/>
      <c r="E13" s="138"/>
      <c r="F13" s="138"/>
    </row>
    <row r="14" spans="1:7" ht="17.25" customHeight="1">
      <c r="A14" s="179" t="s">
        <v>7</v>
      </c>
      <c r="B14" s="179"/>
      <c r="C14" s="139"/>
      <c r="D14" s="134"/>
      <c r="E14" s="134"/>
      <c r="F14" s="134"/>
    </row>
    <row r="15" spans="1:7" ht="15" customHeight="1">
      <c r="A15" s="45" t="s">
        <v>10</v>
      </c>
      <c r="B15" s="45"/>
      <c r="C15" s="133" t="s">
        <v>9</v>
      </c>
      <c r="D15" s="131"/>
      <c r="E15" s="143"/>
      <c r="F15" s="143"/>
    </row>
    <row r="16" spans="1:7" ht="14.25" customHeight="1">
      <c r="A16" s="146" t="s">
        <v>203</v>
      </c>
      <c r="B16" s="147"/>
      <c r="C16" s="144" t="s">
        <v>213</v>
      </c>
      <c r="D16" s="145"/>
      <c r="E16" s="145"/>
      <c r="F16" s="145"/>
    </row>
    <row r="17" spans="1:6" ht="14.25" customHeight="1">
      <c r="A17" s="146" t="s">
        <v>205</v>
      </c>
      <c r="B17" s="147"/>
      <c r="C17" s="184"/>
      <c r="D17" s="185"/>
      <c r="E17" s="185"/>
      <c r="F17" s="185"/>
    </row>
    <row r="18" spans="1:6" ht="14.25" customHeight="1">
      <c r="A18" s="134" t="s">
        <v>206</v>
      </c>
      <c r="B18" s="140"/>
      <c r="C18" s="184"/>
      <c r="D18" s="185"/>
      <c r="E18" s="185"/>
      <c r="F18" s="185"/>
    </row>
    <row r="19" spans="1:6" ht="6.75" customHeight="1">
      <c r="A19" s="180"/>
      <c r="B19" s="180"/>
      <c r="C19" s="184"/>
      <c r="D19" s="185"/>
      <c r="E19" s="185"/>
      <c r="F19" s="185"/>
    </row>
    <row r="20" spans="1:6" ht="14.25" customHeight="1">
      <c r="A20" s="177" t="s">
        <v>16</v>
      </c>
      <c r="B20" s="177"/>
      <c r="C20" s="184"/>
      <c r="D20" s="185"/>
      <c r="E20" s="185"/>
      <c r="F20" s="185"/>
    </row>
    <row r="21" spans="1:6" ht="14.25" customHeight="1">
      <c r="A21" s="146" t="s">
        <v>17</v>
      </c>
      <c r="B21" s="146"/>
      <c r="C21" s="184"/>
      <c r="D21" s="185"/>
      <c r="E21" s="185"/>
      <c r="F21" s="185"/>
    </row>
    <row r="22" spans="1:6" ht="14.25" customHeight="1">
      <c r="A22" s="146"/>
      <c r="B22" s="146"/>
      <c r="C22" s="184"/>
      <c r="D22" s="185"/>
      <c r="E22" s="185"/>
      <c r="F22" s="185"/>
    </row>
    <row r="23" spans="1:6" ht="14.25" customHeight="1">
      <c r="A23" s="146"/>
      <c r="B23" s="147"/>
      <c r="C23" s="184"/>
      <c r="D23" s="185"/>
      <c r="E23" s="185"/>
      <c r="F23" s="185"/>
    </row>
    <row r="24" spans="1:6">
      <c r="A24" s="9" t="s">
        <v>18</v>
      </c>
      <c r="B24" s="10" t="s">
        <v>19</v>
      </c>
      <c r="C24" s="184"/>
      <c r="D24" s="185"/>
      <c r="E24" s="185"/>
      <c r="F24" s="185"/>
    </row>
    <row r="25" spans="1:6" ht="21.75" customHeight="1">
      <c r="A25" s="11" t="s">
        <v>207</v>
      </c>
      <c r="B25" s="11" t="s">
        <v>157</v>
      </c>
      <c r="C25" s="184"/>
      <c r="D25" s="185"/>
      <c r="E25" s="185"/>
      <c r="F25" s="185"/>
    </row>
    <row r="26" spans="1:6" ht="16.5" customHeight="1">
      <c r="A26" s="9" t="s">
        <v>22</v>
      </c>
      <c r="B26" s="10" t="s">
        <v>23</v>
      </c>
      <c r="C26" s="184"/>
      <c r="D26" s="185"/>
      <c r="E26" s="185"/>
      <c r="F26" s="185"/>
    </row>
    <row r="27" spans="1:6">
      <c r="A27" s="11" t="s">
        <v>214</v>
      </c>
      <c r="B27" s="12" t="s">
        <v>215</v>
      </c>
      <c r="C27" s="186"/>
      <c r="D27" s="187"/>
      <c r="E27" s="187"/>
      <c r="F27" s="187"/>
    </row>
    <row r="28" spans="1:6" ht="14.25" customHeight="1">
      <c r="A28" s="13" t="s">
        <v>26</v>
      </c>
      <c r="B28" s="182" t="s">
        <v>27</v>
      </c>
      <c r="C28" s="183"/>
      <c r="D28" s="34" t="s">
        <v>28</v>
      </c>
      <c r="E28" s="14" t="s">
        <v>29</v>
      </c>
      <c r="F28" s="17" t="s">
        <v>30</v>
      </c>
    </row>
    <row r="29" spans="1:6" ht="12" customHeight="1">
      <c r="A29" s="6"/>
      <c r="B29" s="28"/>
      <c r="C29" s="28"/>
      <c r="D29" s="28" t="s">
        <v>31</v>
      </c>
      <c r="E29" s="28" t="s">
        <v>32</v>
      </c>
      <c r="F29" s="35" t="s">
        <v>33</v>
      </c>
    </row>
    <row r="30" spans="1:6" ht="6" customHeight="1">
      <c r="A30" s="152"/>
      <c r="B30" s="152"/>
      <c r="C30" s="152"/>
      <c r="D30" s="152"/>
      <c r="E30" s="152"/>
      <c r="F30" s="152"/>
    </row>
    <row r="31" spans="1:6" ht="15.75" customHeight="1">
      <c r="A31" s="6"/>
      <c r="B31" s="6"/>
      <c r="C31" s="6"/>
      <c r="D31" s="6" t="s">
        <v>93</v>
      </c>
      <c r="E31" s="153" t="s">
        <v>216</v>
      </c>
      <c r="F31" s="153"/>
    </row>
    <row r="32" spans="1:6" ht="11.25" customHeight="1">
      <c r="A32" s="27"/>
      <c r="B32" s="153"/>
      <c r="C32" s="153"/>
      <c r="D32" s="6"/>
    </row>
    <row r="33" spans="1:7" ht="15" customHeight="1">
      <c r="A33" s="36" t="s">
        <v>95</v>
      </c>
      <c r="B33" s="7" t="s">
        <v>210</v>
      </c>
      <c r="C33" s="22"/>
      <c r="D33" s="38">
        <v>22</v>
      </c>
      <c r="E33" s="38">
        <v>1300</v>
      </c>
      <c r="F33" s="38">
        <f>D33*E33</f>
        <v>28600</v>
      </c>
      <c r="G33" s="39"/>
    </row>
    <row r="34" spans="1:7" ht="15" customHeight="1">
      <c r="A34" s="27"/>
      <c r="B34" s="21" t="s">
        <v>217</v>
      </c>
      <c r="C34" s="21"/>
      <c r="D34" s="21"/>
      <c r="E34" s="40"/>
      <c r="F34" s="40"/>
    </row>
    <row r="35" spans="1:7" ht="15" customHeight="1">
      <c r="A35" s="27"/>
      <c r="B35" s="21"/>
      <c r="C35" s="21"/>
      <c r="D35" s="21"/>
      <c r="E35" s="40"/>
      <c r="F35" s="40"/>
    </row>
    <row r="36" spans="1:7" ht="15" customHeight="1">
      <c r="A36" s="27"/>
      <c r="B36" s="153" t="s">
        <v>99</v>
      </c>
      <c r="C36" s="153"/>
      <c r="D36" s="153"/>
      <c r="E36" s="153"/>
      <c r="F36" s="153"/>
    </row>
    <row r="37" spans="1:7" ht="15" customHeight="1">
      <c r="A37" s="27"/>
      <c r="B37" s="27"/>
      <c r="C37" s="27"/>
      <c r="D37" s="26"/>
      <c r="E37" s="41"/>
      <c r="F37" s="26"/>
    </row>
    <row r="38" spans="1:7" ht="15" customHeight="1">
      <c r="A38" s="27"/>
      <c r="B38" s="27"/>
      <c r="C38" s="27"/>
      <c r="D38" s="26"/>
      <c r="E38" s="41"/>
      <c r="F38" s="26"/>
    </row>
    <row r="39" spans="1:7" ht="15" customHeight="1">
      <c r="A39" s="153"/>
      <c r="B39" s="153"/>
      <c r="C39" s="7"/>
      <c r="D39" s="28"/>
      <c r="E39" s="21"/>
      <c r="F39" s="21"/>
    </row>
    <row r="40" spans="1:7" ht="15" customHeight="1">
      <c r="A40" s="156"/>
      <c r="B40" s="156"/>
      <c r="C40" s="29"/>
      <c r="D40" s="29"/>
      <c r="E40" s="30"/>
      <c r="F40" s="30"/>
    </row>
    <row r="41" spans="1:7" ht="15" customHeight="1">
      <c r="A41" s="21"/>
      <c r="B41" s="28" t="s">
        <v>37</v>
      </c>
      <c r="C41" s="28"/>
      <c r="D41" s="42">
        <f>D33</f>
        <v>22</v>
      </c>
      <c r="E41" s="28"/>
      <c r="F41" s="65">
        <f>F33</f>
        <v>28600</v>
      </c>
    </row>
    <row r="42" spans="1:7" ht="15" customHeight="1">
      <c r="A42" s="21"/>
      <c r="B42" s="28"/>
      <c r="C42" s="28"/>
      <c r="D42" s="28"/>
      <c r="E42" s="28"/>
      <c r="F42" s="28"/>
    </row>
    <row r="43" spans="1:7" ht="21.75" customHeight="1">
      <c r="A43" s="21"/>
      <c r="B43" s="28"/>
      <c r="C43" s="28"/>
      <c r="D43" s="28"/>
      <c r="E43" s="28"/>
      <c r="F43" s="21"/>
    </row>
    <row r="44" spans="1:7">
      <c r="A44" s="152"/>
      <c r="B44" s="152"/>
      <c r="C44" s="152"/>
      <c r="D44" s="152"/>
      <c r="E44" s="152"/>
      <c r="F44" s="152"/>
    </row>
    <row r="45" spans="1:7">
      <c r="A45" s="43"/>
    </row>
    <row r="49" spans="1:6" s="64" customFormat="1" ht="46.5" customHeight="1">
      <c r="A49" s="66"/>
      <c r="C49" s="1"/>
      <c r="D49" s="146" t="s">
        <v>176</v>
      </c>
      <c r="E49" s="146"/>
      <c r="F49" s="146"/>
    </row>
    <row r="50" spans="1:6">
      <c r="E50" s="44"/>
    </row>
    <row r="51" spans="1:6">
      <c r="D51" s="67"/>
      <c r="E51" s="67"/>
    </row>
  </sheetData>
  <mergeCells count="30">
    <mergeCell ref="A40:B40"/>
    <mergeCell ref="A44:F44"/>
    <mergeCell ref="D49:F49"/>
    <mergeCell ref="A2:F9"/>
    <mergeCell ref="C17:F27"/>
    <mergeCell ref="A30:F30"/>
    <mergeCell ref="E31:F31"/>
    <mergeCell ref="B32:C32"/>
    <mergeCell ref="B36:F36"/>
    <mergeCell ref="A39:B39"/>
    <mergeCell ref="A20:B20"/>
    <mergeCell ref="A21:B21"/>
    <mergeCell ref="A22:B22"/>
    <mergeCell ref="A23:B23"/>
    <mergeCell ref="B28:C28"/>
    <mergeCell ref="A16:B16"/>
    <mergeCell ref="C16:F16"/>
    <mergeCell ref="A17:B17"/>
    <mergeCell ref="A18:B18"/>
    <mergeCell ref="A19:B19"/>
    <mergeCell ref="A13:B13"/>
    <mergeCell ref="C13:F13"/>
    <mergeCell ref="A14:B14"/>
    <mergeCell ref="C14:F14"/>
    <mergeCell ref="C15:F15"/>
    <mergeCell ref="A10:B10"/>
    <mergeCell ref="A11:B11"/>
    <mergeCell ref="C11:F11"/>
    <mergeCell ref="A12:B12"/>
    <mergeCell ref="C12:F12"/>
  </mergeCells>
  <phoneticPr fontId="25" type="noConversion"/>
  <pageMargins left="0.70866141732283505" right="0.70866141732283505" top="0.74803149606299202" bottom="0.74803149606299202" header="0.31496062992126" footer="0.31496062992126"/>
  <pageSetup paperSize="9" scale="87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">
    <pageSetUpPr fitToPage="1"/>
  </sheetPr>
  <dimension ref="A2:G51"/>
  <sheetViews>
    <sheetView workbookViewId="0">
      <selection activeCell="C17" sqref="C17:F27"/>
    </sheetView>
  </sheetViews>
  <sheetFormatPr defaultColWidth="9" defaultRowHeight="15.6"/>
  <cols>
    <col min="1" max="1" width="26.5" customWidth="1"/>
    <col min="2" max="2" width="19.3984375" customWidth="1"/>
    <col min="3" max="3" width="9" customWidth="1"/>
    <col min="4" max="4" width="11.59765625" customWidth="1"/>
    <col min="5" max="5" width="14.09765625" customWidth="1"/>
    <col min="6" max="6" width="10.09765625" customWidth="1"/>
    <col min="7" max="7" width="12.69921875" customWidth="1"/>
  </cols>
  <sheetData>
    <row r="2" spans="1:7">
      <c r="A2" s="157" t="s">
        <v>0</v>
      </c>
      <c r="B2" s="157"/>
      <c r="C2" s="157"/>
      <c r="D2" s="157"/>
      <c r="E2" s="157"/>
      <c r="F2" s="157"/>
      <c r="G2" s="8"/>
    </row>
    <row r="3" spans="1:7">
      <c r="A3" s="157"/>
      <c r="B3" s="157"/>
      <c r="C3" s="157"/>
      <c r="D3" s="157"/>
      <c r="E3" s="157"/>
      <c r="F3" s="157"/>
      <c r="G3" s="8"/>
    </row>
    <row r="4" spans="1:7">
      <c r="A4" s="157"/>
      <c r="B4" s="157"/>
      <c r="C4" s="157"/>
      <c r="D4" s="157"/>
      <c r="E4" s="157"/>
      <c r="F4" s="157"/>
      <c r="G4" s="8"/>
    </row>
    <row r="5" spans="1:7">
      <c r="A5" s="157"/>
      <c r="B5" s="157"/>
      <c r="C5" s="157"/>
      <c r="D5" s="157"/>
      <c r="E5" s="157"/>
      <c r="F5" s="157"/>
      <c r="G5" s="1"/>
    </row>
    <row r="6" spans="1:7" ht="15.75" customHeight="1">
      <c r="A6" s="157"/>
      <c r="B6" s="157"/>
      <c r="C6" s="157"/>
      <c r="D6" s="157"/>
      <c r="E6" s="157"/>
      <c r="F6" s="157"/>
    </row>
    <row r="7" spans="1:7" ht="2.25" customHeight="1">
      <c r="A7" s="157"/>
      <c r="B7" s="157"/>
      <c r="C7" s="157"/>
      <c r="D7" s="157"/>
      <c r="E7" s="157"/>
      <c r="F7" s="157"/>
    </row>
    <row r="8" spans="1:7" ht="13.5" hidden="1" customHeight="1">
      <c r="A8" s="157"/>
      <c r="B8" s="157"/>
      <c r="C8" s="157"/>
      <c r="D8" s="157"/>
      <c r="E8" s="157"/>
      <c r="F8" s="157"/>
    </row>
    <row r="9" spans="1:7" ht="17.25" hidden="1" customHeight="1">
      <c r="A9" s="157"/>
      <c r="B9" s="157"/>
      <c r="C9" s="157"/>
      <c r="D9" s="157"/>
      <c r="E9" s="157"/>
      <c r="F9" s="157"/>
    </row>
    <row r="10" spans="1:7" ht="13.5" customHeight="1">
      <c r="A10" s="146"/>
      <c r="B10" s="147"/>
      <c r="C10" s="4"/>
    </row>
    <row r="11" spans="1:7" ht="15" customHeight="1">
      <c r="A11" s="131" t="s">
        <v>1</v>
      </c>
      <c r="B11" s="131"/>
      <c r="C11" s="204" t="s">
        <v>2</v>
      </c>
      <c r="D11" s="205"/>
      <c r="E11" s="205"/>
      <c r="F11" s="205"/>
    </row>
    <row r="12" spans="1:7" ht="12" customHeight="1">
      <c r="A12" s="134" t="s">
        <v>3</v>
      </c>
      <c r="B12" s="134"/>
      <c r="C12" s="186" t="s">
        <v>218</v>
      </c>
      <c r="D12" s="187"/>
      <c r="E12" s="187"/>
      <c r="F12" s="187"/>
    </row>
    <row r="13" spans="1:7" ht="14.25" customHeight="1">
      <c r="A13" s="134" t="s">
        <v>5</v>
      </c>
      <c r="B13" s="134"/>
      <c r="C13" s="137" t="s">
        <v>86</v>
      </c>
      <c r="D13" s="138"/>
      <c r="E13" s="138"/>
      <c r="F13" s="138"/>
    </row>
    <row r="14" spans="1:7" ht="17.25" customHeight="1">
      <c r="A14" s="148" t="s">
        <v>7</v>
      </c>
      <c r="B14" s="148"/>
      <c r="C14" s="186"/>
      <c r="D14" s="187"/>
      <c r="E14" s="187"/>
      <c r="F14" s="187"/>
    </row>
    <row r="15" spans="1:7" ht="15" customHeight="1">
      <c r="A15" s="6" t="s">
        <v>10</v>
      </c>
      <c r="B15" s="6"/>
      <c r="C15" s="207" t="s">
        <v>9</v>
      </c>
      <c r="D15" s="208"/>
      <c r="E15" s="208"/>
      <c r="F15" s="208"/>
    </row>
    <row r="16" spans="1:7" ht="14.25" customHeight="1">
      <c r="A16" s="146" t="s">
        <v>120</v>
      </c>
      <c r="B16" s="146"/>
      <c r="C16" s="186" t="s">
        <v>219</v>
      </c>
      <c r="D16" s="187"/>
      <c r="E16" s="187"/>
      <c r="F16" s="187"/>
    </row>
    <row r="17" spans="1:6" ht="14.25" customHeight="1">
      <c r="A17" s="146" t="s">
        <v>122</v>
      </c>
      <c r="B17" s="146"/>
      <c r="C17" s="184" t="s">
        <v>89</v>
      </c>
      <c r="D17" s="185"/>
      <c r="E17" s="185"/>
      <c r="F17" s="185"/>
    </row>
    <row r="18" spans="1:6" ht="14.25" customHeight="1">
      <c r="A18" s="8" t="s">
        <v>123</v>
      </c>
      <c r="B18" s="8"/>
      <c r="C18" s="184"/>
      <c r="D18" s="185"/>
      <c r="E18" s="185"/>
      <c r="F18" s="185"/>
    </row>
    <row r="19" spans="1:6" ht="6.75" customHeight="1">
      <c r="A19" s="146"/>
      <c r="B19" s="146"/>
      <c r="C19" s="184"/>
      <c r="D19" s="185"/>
      <c r="E19" s="185"/>
      <c r="F19" s="185"/>
    </row>
    <row r="20" spans="1:6" ht="14.25" customHeight="1">
      <c r="A20" s="131" t="s">
        <v>16</v>
      </c>
      <c r="B20" s="131"/>
      <c r="C20" s="184"/>
      <c r="D20" s="185"/>
      <c r="E20" s="185"/>
      <c r="F20" s="185"/>
    </row>
    <row r="21" spans="1:6" ht="14.25" customHeight="1">
      <c r="A21" s="146" t="s">
        <v>120</v>
      </c>
      <c r="B21" s="146"/>
      <c r="C21" s="184"/>
      <c r="D21" s="185"/>
      <c r="E21" s="185"/>
      <c r="F21" s="185"/>
    </row>
    <row r="22" spans="1:6" ht="14.25" customHeight="1">
      <c r="A22" s="146" t="s">
        <v>122</v>
      </c>
      <c r="B22" s="146"/>
      <c r="C22" s="184"/>
      <c r="D22" s="185"/>
      <c r="E22" s="185"/>
      <c r="F22" s="185"/>
    </row>
    <row r="23" spans="1:6" ht="14.25" customHeight="1">
      <c r="A23" s="8" t="s">
        <v>123</v>
      </c>
      <c r="B23" s="8"/>
      <c r="C23" s="184"/>
      <c r="D23" s="185"/>
      <c r="E23" s="185"/>
      <c r="F23" s="185"/>
    </row>
    <row r="24" spans="1:6">
      <c r="A24" s="9" t="s">
        <v>18</v>
      </c>
      <c r="B24" s="10" t="s">
        <v>19</v>
      </c>
      <c r="C24" s="184"/>
      <c r="D24" s="185"/>
      <c r="E24" s="185"/>
      <c r="F24" s="185"/>
    </row>
    <row r="25" spans="1:6" ht="16.95" customHeight="1">
      <c r="A25" s="11" t="s">
        <v>220</v>
      </c>
      <c r="B25" s="12" t="s">
        <v>221</v>
      </c>
      <c r="C25" s="184"/>
      <c r="D25" s="185"/>
      <c r="E25" s="185"/>
      <c r="F25" s="185"/>
    </row>
    <row r="26" spans="1:6" ht="11.25" customHeight="1">
      <c r="A26" s="9" t="s">
        <v>22</v>
      </c>
      <c r="B26" s="10" t="s">
        <v>23</v>
      </c>
      <c r="C26" s="184"/>
      <c r="D26" s="185"/>
      <c r="E26" s="185"/>
      <c r="F26" s="185"/>
    </row>
    <row r="27" spans="1:6" ht="13.2" customHeight="1">
      <c r="A27" s="11" t="s">
        <v>222</v>
      </c>
      <c r="B27" s="12" t="s">
        <v>223</v>
      </c>
      <c r="C27" s="186"/>
      <c r="D27" s="187"/>
      <c r="E27" s="187"/>
      <c r="F27" s="187"/>
    </row>
    <row r="28" spans="1:6" ht="14.25" customHeight="1">
      <c r="A28" s="13" t="s">
        <v>26</v>
      </c>
      <c r="B28" s="182" t="s">
        <v>27</v>
      </c>
      <c r="C28" s="183"/>
      <c r="D28" s="34" t="s">
        <v>28</v>
      </c>
      <c r="E28" s="14" t="s">
        <v>29</v>
      </c>
      <c r="F28" s="17" t="s">
        <v>30</v>
      </c>
    </row>
    <row r="29" spans="1:6" ht="12" customHeight="1">
      <c r="A29" s="6"/>
      <c r="B29" s="28"/>
      <c r="C29" s="28"/>
      <c r="D29" s="28" t="s">
        <v>31</v>
      </c>
      <c r="E29" s="28" t="s">
        <v>32</v>
      </c>
      <c r="F29" s="35" t="s">
        <v>33</v>
      </c>
    </row>
    <row r="30" spans="1:6" ht="6" customHeight="1">
      <c r="A30" s="152"/>
      <c r="B30" s="152"/>
      <c r="C30" s="152"/>
      <c r="D30" s="152"/>
      <c r="E30" s="152"/>
      <c r="F30" s="152"/>
    </row>
    <row r="31" spans="1:6" ht="15.75" customHeight="1">
      <c r="A31" s="6"/>
      <c r="B31" s="6"/>
      <c r="C31" s="6"/>
      <c r="D31" s="6" t="s">
        <v>93</v>
      </c>
      <c r="E31" s="153" t="s">
        <v>224</v>
      </c>
      <c r="F31" s="153"/>
    </row>
    <row r="32" spans="1:6" ht="11.25" customHeight="1">
      <c r="A32" s="27"/>
      <c r="B32" s="153"/>
      <c r="C32" s="153"/>
      <c r="D32" s="6"/>
    </row>
    <row r="33" spans="1:7" ht="15" customHeight="1">
      <c r="A33" s="63" t="s">
        <v>225</v>
      </c>
      <c r="B33" s="22" t="s">
        <v>225</v>
      </c>
      <c r="C33" s="22"/>
      <c r="D33" s="37">
        <v>15.2</v>
      </c>
      <c r="E33" s="38">
        <v>1790</v>
      </c>
      <c r="F33" s="38">
        <f>D33*E33</f>
        <v>27208</v>
      </c>
      <c r="G33" s="39"/>
    </row>
    <row r="34" spans="1:7" ht="15" customHeight="1">
      <c r="A34" s="7" t="s">
        <v>226</v>
      </c>
      <c r="B34" s="153" t="s">
        <v>227</v>
      </c>
      <c r="C34" s="153"/>
      <c r="D34" s="153"/>
      <c r="E34" s="40"/>
      <c r="F34" s="40"/>
    </row>
    <row r="35" spans="1:7" ht="15" customHeight="1">
      <c r="A35" s="7" t="s">
        <v>228</v>
      </c>
      <c r="B35" s="153" t="s">
        <v>229</v>
      </c>
      <c r="C35" s="153"/>
      <c r="D35" s="7"/>
      <c r="E35" s="40"/>
      <c r="F35" s="40"/>
    </row>
    <row r="36" spans="1:7" ht="15" customHeight="1">
      <c r="A36" s="7" t="s">
        <v>230</v>
      </c>
      <c r="B36" s="7"/>
      <c r="C36" s="7"/>
      <c r="D36" s="7"/>
      <c r="E36" s="40"/>
      <c r="F36" s="40"/>
    </row>
    <row r="37" spans="1:7" ht="15" customHeight="1">
      <c r="A37" s="7" t="s">
        <v>231</v>
      </c>
      <c r="B37" s="153" t="s">
        <v>99</v>
      </c>
      <c r="C37" s="153"/>
      <c r="D37" s="153"/>
      <c r="E37" s="153"/>
      <c r="F37" s="153"/>
    </row>
    <row r="38" spans="1:7" ht="15" customHeight="1">
      <c r="A38" s="7" t="s">
        <v>232</v>
      </c>
      <c r="B38" s="27"/>
      <c r="C38" s="27"/>
      <c r="D38" s="26"/>
      <c r="E38" s="41"/>
      <c r="F38" s="26"/>
    </row>
    <row r="39" spans="1:7" ht="15" customHeight="1">
      <c r="A39" s="7" t="s">
        <v>233</v>
      </c>
      <c r="B39" s="27"/>
      <c r="C39" s="27"/>
      <c r="D39" s="26"/>
      <c r="E39" s="41"/>
      <c r="F39" s="26"/>
    </row>
    <row r="40" spans="1:7" ht="15" customHeight="1">
      <c r="A40" s="153"/>
      <c r="B40" s="153"/>
      <c r="C40" s="7"/>
      <c r="D40" s="28"/>
      <c r="E40" s="21"/>
      <c r="F40" s="21"/>
    </row>
    <row r="41" spans="1:7" ht="15" customHeight="1">
      <c r="A41" s="156"/>
      <c r="B41" s="156"/>
      <c r="C41" s="29"/>
      <c r="D41" s="29"/>
      <c r="E41" s="30"/>
      <c r="F41" s="30"/>
    </row>
    <row r="42" spans="1:7" ht="15" customHeight="1">
      <c r="A42" s="21"/>
      <c r="B42" s="28" t="s">
        <v>37</v>
      </c>
      <c r="C42" s="28"/>
      <c r="D42" s="42" t="s">
        <v>234</v>
      </c>
      <c r="E42" s="28"/>
      <c r="F42" s="38" t="s">
        <v>235</v>
      </c>
    </row>
    <row r="43" spans="1:7" ht="15" customHeight="1">
      <c r="A43" s="21"/>
      <c r="B43" s="28"/>
      <c r="C43" s="28"/>
      <c r="D43" s="28"/>
      <c r="E43" s="28"/>
      <c r="F43" s="28"/>
    </row>
    <row r="44" spans="1:7" ht="21.75" customHeight="1">
      <c r="A44" s="21"/>
      <c r="B44" s="28"/>
      <c r="C44" s="28"/>
      <c r="D44" s="28"/>
      <c r="E44" s="28"/>
      <c r="F44" s="21"/>
    </row>
    <row r="45" spans="1:7">
      <c r="A45" s="152"/>
      <c r="B45" s="152"/>
      <c r="C45" s="152"/>
      <c r="D45" s="152"/>
      <c r="E45" s="152"/>
      <c r="F45" s="152"/>
    </row>
    <row r="46" spans="1:7">
      <c r="A46" s="43"/>
    </row>
    <row r="51" spans="5:5">
      <c r="E51" s="44" t="s">
        <v>38</v>
      </c>
    </row>
  </sheetData>
  <mergeCells count="29">
    <mergeCell ref="A41:B41"/>
    <mergeCell ref="A45:F45"/>
    <mergeCell ref="C17:F27"/>
    <mergeCell ref="A2:F9"/>
    <mergeCell ref="B32:C32"/>
    <mergeCell ref="B34:D34"/>
    <mergeCell ref="B35:C35"/>
    <mergeCell ref="B37:F37"/>
    <mergeCell ref="A40:B40"/>
    <mergeCell ref="A21:B21"/>
    <mergeCell ref="A22:B22"/>
    <mergeCell ref="B28:C28"/>
    <mergeCell ref="A30:F30"/>
    <mergeCell ref="E31:F31"/>
    <mergeCell ref="A16:B16"/>
    <mergeCell ref="C16:F16"/>
    <mergeCell ref="A17:B17"/>
    <mergeCell ref="A19:B19"/>
    <mergeCell ref="A20:B20"/>
    <mergeCell ref="A13:B13"/>
    <mergeCell ref="C13:F13"/>
    <mergeCell ref="A14:B14"/>
    <mergeCell ref="C14:F14"/>
    <mergeCell ref="C15:F15"/>
    <mergeCell ref="A10:B10"/>
    <mergeCell ref="A11:B11"/>
    <mergeCell ref="C11:F11"/>
    <mergeCell ref="A12:B12"/>
    <mergeCell ref="C12:F12"/>
  </mergeCells>
  <phoneticPr fontId="25" type="noConversion"/>
  <pageMargins left="0.70866141732283505" right="0.70866141732283505" top="0.74803149606299202" bottom="0.74803149606299202" header="0.31496062992126" footer="0.31496062992126"/>
  <pageSetup paperSize="9" scale="9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"/>
  <dimension ref="A2:H44"/>
  <sheetViews>
    <sheetView workbookViewId="0">
      <selection activeCell="I37" sqref="I37"/>
    </sheetView>
  </sheetViews>
  <sheetFormatPr defaultColWidth="9" defaultRowHeight="12"/>
  <cols>
    <col min="1" max="1" width="22.19921875" style="1" customWidth="1"/>
    <col min="2" max="2" width="19.796875" style="1" customWidth="1"/>
    <col min="3" max="3" width="5.69921875" style="1" customWidth="1"/>
    <col min="4" max="4" width="8.3984375" style="1" customWidth="1"/>
    <col min="5" max="5" width="8.59765625" style="1" customWidth="1"/>
    <col min="6" max="6" width="7.8984375" style="1" customWidth="1"/>
    <col min="7" max="7" width="11.3984375" style="1" customWidth="1"/>
    <col min="8" max="8" width="11.8984375" style="1" customWidth="1"/>
    <col min="9" max="16384" width="9" style="1"/>
  </cols>
  <sheetData>
    <row r="2" spans="1:8" ht="14.25" customHeight="1">
      <c r="A2" s="157" t="s">
        <v>39</v>
      </c>
      <c r="B2" s="157"/>
      <c r="C2" s="157"/>
      <c r="D2" s="157"/>
      <c r="E2" s="157"/>
      <c r="F2" s="157"/>
      <c r="G2" s="157"/>
      <c r="H2" s="2"/>
    </row>
    <row r="3" spans="1:8" ht="14.25" customHeight="1">
      <c r="A3" s="157"/>
      <c r="B3" s="157"/>
      <c r="C3" s="157"/>
      <c r="D3" s="157"/>
      <c r="E3" s="157"/>
      <c r="F3" s="157"/>
      <c r="G3" s="157"/>
      <c r="H3" s="2"/>
    </row>
    <row r="4" spans="1:8" ht="14.25" customHeight="1">
      <c r="A4" s="157"/>
      <c r="B4" s="157"/>
      <c r="C4" s="157"/>
      <c r="D4" s="157"/>
      <c r="E4" s="157"/>
      <c r="F4" s="157"/>
      <c r="G4" s="157"/>
      <c r="H4" s="2"/>
    </row>
    <row r="5" spans="1:8" ht="12" customHeight="1">
      <c r="A5" s="157"/>
      <c r="B5" s="157"/>
      <c r="C5" s="157"/>
      <c r="D5" s="157"/>
      <c r="E5" s="157"/>
      <c r="F5" s="157"/>
      <c r="G5" s="157"/>
      <c r="H5" s="2"/>
    </row>
    <row r="6" spans="1:8">
      <c r="A6" s="172"/>
      <c r="B6" s="172"/>
      <c r="C6" s="172"/>
      <c r="D6" s="172"/>
      <c r="E6" s="172"/>
      <c r="F6" s="172"/>
      <c r="G6" s="172"/>
    </row>
    <row r="7" spans="1:8" customFormat="1" ht="15" customHeight="1">
      <c r="A7" s="131" t="s">
        <v>1</v>
      </c>
      <c r="B7" s="131"/>
      <c r="C7" s="137" t="s">
        <v>2</v>
      </c>
      <c r="D7" s="138"/>
      <c r="E7" s="138"/>
      <c r="F7" s="138"/>
      <c r="G7" s="138"/>
    </row>
    <row r="8" spans="1:8" customFormat="1" ht="12" customHeight="1">
      <c r="A8" s="134" t="s">
        <v>3</v>
      </c>
      <c r="B8" s="134"/>
      <c r="C8" s="161" t="s">
        <v>236</v>
      </c>
      <c r="D8" s="146"/>
      <c r="E8" s="146"/>
      <c r="F8" s="146"/>
      <c r="G8" s="146"/>
    </row>
    <row r="9" spans="1:8" customFormat="1" ht="14.25" customHeight="1">
      <c r="A9" s="134" t="s">
        <v>5</v>
      </c>
      <c r="B9" s="134"/>
      <c r="C9" s="161"/>
      <c r="D9" s="146"/>
      <c r="E9" s="146"/>
      <c r="F9" s="146"/>
      <c r="G9" s="146"/>
    </row>
    <row r="10" spans="1:8" customFormat="1" ht="15" customHeight="1">
      <c r="A10" s="148" t="s">
        <v>7</v>
      </c>
      <c r="B10" s="148"/>
      <c r="C10" s="144"/>
      <c r="D10" s="145"/>
      <c r="E10" s="145"/>
      <c r="F10" s="145"/>
      <c r="G10" s="145"/>
    </row>
    <row r="11" spans="1:8" customFormat="1" ht="15" customHeight="1">
      <c r="A11" s="6" t="s">
        <v>10</v>
      </c>
      <c r="B11" s="6"/>
      <c r="C11" s="199"/>
      <c r="D11" s="153"/>
      <c r="E11" s="153"/>
      <c r="F11" s="153"/>
      <c r="G11" s="153"/>
    </row>
    <row r="12" spans="1:8" customFormat="1" ht="14.25" customHeight="1">
      <c r="A12" s="146" t="s">
        <v>120</v>
      </c>
      <c r="B12" s="146"/>
      <c r="C12" s="199" t="s">
        <v>103</v>
      </c>
      <c r="D12" s="153"/>
      <c r="E12" s="153"/>
      <c r="F12" s="153"/>
      <c r="G12" s="153"/>
    </row>
    <row r="13" spans="1:8" customFormat="1" ht="14.25" customHeight="1">
      <c r="A13" s="146" t="s">
        <v>122</v>
      </c>
      <c r="B13" s="146"/>
      <c r="C13" s="199"/>
      <c r="D13" s="153"/>
      <c r="E13" s="153"/>
      <c r="F13" s="153"/>
      <c r="G13" s="153"/>
    </row>
    <row r="14" spans="1:8" customFormat="1" ht="14.25" customHeight="1">
      <c r="A14" s="8" t="s">
        <v>123</v>
      </c>
      <c r="B14" s="8"/>
      <c r="C14" s="199"/>
      <c r="D14" s="153"/>
      <c r="E14" s="153"/>
      <c r="F14" s="153"/>
      <c r="G14" s="153"/>
    </row>
    <row r="15" spans="1:8" customFormat="1" ht="14.25" customHeight="1">
      <c r="A15" s="146"/>
      <c r="B15" s="146"/>
      <c r="C15" s="199"/>
      <c r="D15" s="153"/>
      <c r="E15" s="153"/>
      <c r="F15" s="153"/>
      <c r="G15" s="153"/>
    </row>
    <row r="16" spans="1:8" customFormat="1" ht="15" customHeight="1">
      <c r="A16" s="131" t="s">
        <v>16</v>
      </c>
      <c r="B16" s="131"/>
      <c r="C16" s="199"/>
      <c r="D16" s="153"/>
      <c r="E16" s="153"/>
      <c r="F16" s="153"/>
      <c r="G16" s="153"/>
    </row>
    <row r="17" spans="1:8" customFormat="1" ht="14.25" customHeight="1">
      <c r="A17" s="146" t="s">
        <v>120</v>
      </c>
      <c r="B17" s="146"/>
      <c r="C17" s="199"/>
      <c r="D17" s="153"/>
      <c r="E17" s="153"/>
      <c r="F17" s="153"/>
      <c r="G17" s="153"/>
    </row>
    <row r="18" spans="1:8" customFormat="1" ht="14.25" customHeight="1">
      <c r="A18" s="146" t="s">
        <v>122</v>
      </c>
      <c r="B18" s="146"/>
      <c r="C18" s="199"/>
      <c r="D18" s="153"/>
      <c r="E18" s="153"/>
      <c r="F18" s="153"/>
      <c r="G18" s="153"/>
    </row>
    <row r="19" spans="1:8" customFormat="1" ht="14.25" customHeight="1">
      <c r="A19" s="8" t="s">
        <v>123</v>
      </c>
      <c r="B19" s="8"/>
      <c r="C19" s="199"/>
      <c r="D19" s="153"/>
      <c r="E19" s="153"/>
      <c r="F19" s="153"/>
      <c r="G19" s="153"/>
    </row>
    <row r="20" spans="1:8" customFormat="1" ht="15.6">
      <c r="A20" s="9" t="s">
        <v>18</v>
      </c>
      <c r="B20" s="10" t="s">
        <v>19</v>
      </c>
      <c r="C20" s="199"/>
      <c r="D20" s="153"/>
      <c r="E20" s="153"/>
      <c r="F20" s="153"/>
      <c r="G20" s="153"/>
    </row>
    <row r="21" spans="1:8" customFormat="1" ht="16.2" customHeight="1">
      <c r="A21" s="11" t="s">
        <v>220</v>
      </c>
      <c r="B21" s="12" t="s">
        <v>221</v>
      </c>
      <c r="C21" s="199"/>
      <c r="D21" s="153"/>
      <c r="E21" s="153"/>
      <c r="F21" s="153"/>
      <c r="G21" s="153"/>
    </row>
    <row r="22" spans="1:8" customFormat="1" ht="13.5" customHeight="1">
      <c r="A22" s="9" t="s">
        <v>22</v>
      </c>
      <c r="B22" s="10" t="s">
        <v>23</v>
      </c>
      <c r="C22" s="199"/>
      <c r="D22" s="153"/>
      <c r="E22" s="153"/>
      <c r="F22" s="153"/>
      <c r="G22" s="153"/>
    </row>
    <row r="23" spans="1:8" customFormat="1" ht="12" customHeight="1">
      <c r="A23" s="11" t="s">
        <v>222</v>
      </c>
      <c r="B23" s="12" t="s">
        <v>223</v>
      </c>
      <c r="C23" s="200"/>
      <c r="D23" s="201"/>
      <c r="E23" s="201"/>
      <c r="F23" s="201"/>
      <c r="G23" s="201"/>
    </row>
    <row r="24" spans="1:8" customFormat="1" ht="20.399999999999999">
      <c r="A24" s="13" t="s">
        <v>26</v>
      </c>
      <c r="B24" s="182" t="s">
        <v>27</v>
      </c>
      <c r="C24" s="183"/>
      <c r="D24" s="14" t="s">
        <v>106</v>
      </c>
      <c r="E24" s="15" t="s">
        <v>107</v>
      </c>
      <c r="F24" s="16" t="s">
        <v>108</v>
      </c>
      <c r="G24" s="17" t="s">
        <v>109</v>
      </c>
    </row>
    <row r="25" spans="1:8" customFormat="1" ht="15.6">
      <c r="A25" s="18"/>
      <c r="B25" s="19"/>
      <c r="C25" s="19"/>
      <c r="D25" s="20"/>
      <c r="E25" s="19"/>
      <c r="F25" s="19"/>
      <c r="G25" s="20"/>
    </row>
    <row r="26" spans="1:8" ht="11.25" customHeight="1">
      <c r="A26" s="21"/>
      <c r="B26" s="22" t="s">
        <v>225</v>
      </c>
      <c r="C26" s="22"/>
      <c r="D26" s="23"/>
      <c r="E26" s="21"/>
      <c r="F26" s="21"/>
      <c r="G26" s="21"/>
      <c r="H26" s="21"/>
    </row>
    <row r="27" spans="1:8" ht="12" customHeight="1">
      <c r="A27" s="7"/>
      <c r="B27" s="153" t="s">
        <v>227</v>
      </c>
      <c r="C27" s="153"/>
      <c r="D27" s="153"/>
      <c r="E27" s="24"/>
      <c r="F27" s="24"/>
      <c r="G27" s="25"/>
      <c r="H27" s="26"/>
    </row>
    <row r="28" spans="1:8" ht="12" customHeight="1">
      <c r="A28" s="27"/>
      <c r="B28" s="153" t="s">
        <v>229</v>
      </c>
      <c r="C28" s="153"/>
      <c r="D28" s="7"/>
      <c r="E28" s="24"/>
      <c r="F28" s="24"/>
      <c r="G28" s="25"/>
      <c r="H28" s="26"/>
    </row>
    <row r="29" spans="1:8" ht="11.25" customHeight="1">
      <c r="A29" s="21"/>
      <c r="B29" s="153"/>
      <c r="C29" s="153"/>
      <c r="D29" s="28"/>
      <c r="E29" s="21"/>
      <c r="F29" s="21"/>
      <c r="G29" s="21"/>
      <c r="H29" s="21"/>
    </row>
    <row r="30" spans="1:8">
      <c r="A30" s="21"/>
      <c r="B30" s="21"/>
      <c r="C30" s="21"/>
      <c r="D30" s="28"/>
      <c r="E30" s="21"/>
      <c r="F30" s="21"/>
      <c r="G30" s="21"/>
      <c r="H30" s="21"/>
    </row>
    <row r="31" spans="1:8">
      <c r="A31" s="21"/>
      <c r="B31" s="21"/>
      <c r="C31" s="21"/>
      <c r="D31" s="28"/>
      <c r="E31" s="21"/>
      <c r="F31" s="21"/>
      <c r="G31" s="21"/>
      <c r="H31" s="21"/>
    </row>
    <row r="32" spans="1:8">
      <c r="A32" s="156"/>
      <c r="B32" s="156"/>
      <c r="C32" s="29" t="s">
        <v>145</v>
      </c>
      <c r="D32" s="29"/>
      <c r="E32" s="30"/>
      <c r="F32" s="30"/>
      <c r="G32" s="30"/>
      <c r="H32" s="21"/>
    </row>
    <row r="33" spans="1:8" ht="22.8">
      <c r="A33" s="21"/>
      <c r="B33" s="28"/>
      <c r="C33" s="28"/>
      <c r="D33" s="28" t="s">
        <v>237</v>
      </c>
      <c r="E33" s="28" t="s">
        <v>238</v>
      </c>
      <c r="F33" s="28" t="s">
        <v>239</v>
      </c>
      <c r="G33" s="31" t="s">
        <v>240</v>
      </c>
      <c r="H33" s="21"/>
    </row>
    <row r="34" spans="1:8">
      <c r="A34" s="21"/>
      <c r="B34" s="28"/>
      <c r="C34" s="28"/>
      <c r="D34" s="28"/>
      <c r="E34" s="28"/>
      <c r="F34" s="28"/>
      <c r="G34" s="28"/>
      <c r="H34" s="21"/>
    </row>
    <row r="35" spans="1:8">
      <c r="A35" s="21"/>
      <c r="D35" s="28"/>
      <c r="E35" s="28"/>
      <c r="F35" s="28"/>
      <c r="G35" s="28"/>
      <c r="H35" s="21"/>
    </row>
    <row r="36" spans="1:8">
      <c r="B36" s="8"/>
      <c r="C36" s="8"/>
      <c r="D36" s="21"/>
      <c r="E36" s="21" t="s">
        <v>116</v>
      </c>
      <c r="F36" s="21"/>
      <c r="G36" s="21"/>
      <c r="H36" s="21"/>
    </row>
    <row r="37" spans="1:8">
      <c r="A37" s="21" t="s">
        <v>117</v>
      </c>
      <c r="B37" s="8"/>
      <c r="C37" s="8"/>
      <c r="D37" s="21"/>
      <c r="E37" s="21"/>
      <c r="F37" s="21"/>
      <c r="G37" s="21"/>
      <c r="H37" s="21"/>
    </row>
    <row r="38" spans="1:8" ht="36" customHeight="1">
      <c r="A38" s="21"/>
      <c r="B38" s="146"/>
      <c r="C38" s="146"/>
      <c r="D38" s="146"/>
      <c r="E38" s="146"/>
      <c r="F38" s="146"/>
      <c r="G38" s="146"/>
      <c r="H38" s="21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198"/>
      <c r="B40" s="198"/>
      <c r="C40" s="198"/>
      <c r="D40" s="198"/>
      <c r="E40" s="198"/>
      <c r="F40" s="198"/>
      <c r="G40" s="198"/>
      <c r="H40" s="198"/>
    </row>
    <row r="44" spans="1:8">
      <c r="E44" s="32" t="s">
        <v>118</v>
      </c>
      <c r="F44" s="32"/>
    </row>
  </sheetData>
  <mergeCells count="24">
    <mergeCell ref="A40:H40"/>
    <mergeCell ref="C12:G23"/>
    <mergeCell ref="A2:G6"/>
    <mergeCell ref="B27:D27"/>
    <mergeCell ref="B28:C28"/>
    <mergeCell ref="B29:C29"/>
    <mergeCell ref="A32:B32"/>
    <mergeCell ref="B38:G38"/>
    <mergeCell ref="A15:B15"/>
    <mergeCell ref="A16:B16"/>
    <mergeCell ref="A17:B17"/>
    <mergeCell ref="A18:B18"/>
    <mergeCell ref="B24:C24"/>
    <mergeCell ref="A10:B10"/>
    <mergeCell ref="C10:G10"/>
    <mergeCell ref="C11:G11"/>
    <mergeCell ref="A12:B12"/>
    <mergeCell ref="A13:B13"/>
    <mergeCell ref="A7:B7"/>
    <mergeCell ref="C7:G7"/>
    <mergeCell ref="A8:B8"/>
    <mergeCell ref="C8:G8"/>
    <mergeCell ref="A9:B9"/>
    <mergeCell ref="C9:G9"/>
  </mergeCells>
  <phoneticPr fontId="25" type="noConversion"/>
  <printOptions horizontalCentered="1"/>
  <pageMargins left="0.47244094488188998" right="0.47244094488188998" top="0.74803149606299202" bottom="0.74803149606299202" header="0.31496062992126" footer="0.31496062992126"/>
  <pageSetup paperSize="9" orientation="portrait" verticalDpi="12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5"/>
  <dimension ref="A2:G52"/>
  <sheetViews>
    <sheetView showGridLines="0" showRowColHeaders="0" workbookViewId="0">
      <selection activeCell="A21" sqref="A21:B21"/>
    </sheetView>
  </sheetViews>
  <sheetFormatPr defaultColWidth="9" defaultRowHeight="15.6"/>
  <cols>
    <col min="1" max="1" width="19.8984375" customWidth="1"/>
    <col min="2" max="2" width="19.3984375" customWidth="1"/>
    <col min="3" max="3" width="6.59765625" customWidth="1"/>
    <col min="4" max="4" width="10.09765625" customWidth="1"/>
    <col min="5" max="5" width="10.796875" customWidth="1"/>
    <col min="6" max="6" width="11.69921875" customWidth="1"/>
    <col min="7" max="7" width="12.69921875" customWidth="1"/>
  </cols>
  <sheetData>
    <row r="2" spans="1:7">
      <c r="A2" s="157" t="s">
        <v>0</v>
      </c>
      <c r="B2" s="157"/>
      <c r="C2" s="157"/>
      <c r="D2" s="157"/>
      <c r="E2" s="157"/>
      <c r="F2" s="157"/>
      <c r="G2" s="8"/>
    </row>
    <row r="3" spans="1:7">
      <c r="A3" s="157"/>
      <c r="B3" s="157"/>
      <c r="C3" s="157"/>
      <c r="D3" s="157"/>
      <c r="E3" s="157"/>
      <c r="F3" s="157"/>
      <c r="G3" s="8"/>
    </row>
    <row r="4" spans="1:7">
      <c r="A4" s="157"/>
      <c r="B4" s="157"/>
      <c r="C4" s="157"/>
      <c r="D4" s="157"/>
      <c r="E4" s="157"/>
      <c r="F4" s="157"/>
      <c r="G4" s="8"/>
    </row>
    <row r="5" spans="1:7">
      <c r="A5" s="157"/>
      <c r="B5" s="157"/>
      <c r="C5" s="157"/>
      <c r="D5" s="157"/>
      <c r="E5" s="157"/>
      <c r="F5" s="157"/>
      <c r="G5" s="1"/>
    </row>
    <row r="6" spans="1:7" ht="15.75" customHeight="1">
      <c r="A6" s="157"/>
      <c r="B6" s="157"/>
      <c r="C6" s="157"/>
      <c r="D6" s="157"/>
      <c r="E6" s="157"/>
      <c r="F6" s="157"/>
    </row>
    <row r="7" spans="1:7" ht="2.25" customHeight="1">
      <c r="A7" s="157"/>
      <c r="B7" s="157"/>
      <c r="C7" s="157"/>
      <c r="D7" s="157"/>
      <c r="E7" s="157"/>
      <c r="F7" s="157"/>
    </row>
    <row r="8" spans="1:7" ht="13.5" hidden="1" customHeight="1">
      <c r="A8" s="157"/>
      <c r="B8" s="157"/>
      <c r="C8" s="157"/>
      <c r="D8" s="157"/>
      <c r="E8" s="157"/>
      <c r="F8" s="157"/>
    </row>
    <row r="9" spans="1:7" ht="17.25" hidden="1" customHeight="1">
      <c r="A9" s="157"/>
      <c r="B9" s="157"/>
      <c r="C9" s="157"/>
      <c r="D9" s="157"/>
      <c r="E9" s="157"/>
      <c r="F9" s="157"/>
    </row>
    <row r="10" spans="1:7" ht="13.5" customHeight="1">
      <c r="A10" s="146"/>
      <c r="B10" s="146"/>
      <c r="C10" s="5"/>
    </row>
    <row r="11" spans="1:7" ht="15" customHeight="1">
      <c r="A11" s="202" t="s">
        <v>1</v>
      </c>
      <c r="B11" s="203"/>
      <c r="C11" s="204" t="s">
        <v>2</v>
      </c>
      <c r="D11" s="205"/>
      <c r="E11" s="205"/>
      <c r="F11" s="205"/>
    </row>
    <row r="12" spans="1:7" ht="12" customHeight="1">
      <c r="A12" s="160" t="s">
        <v>3</v>
      </c>
      <c r="B12" s="206"/>
      <c r="C12" s="186" t="s">
        <v>241</v>
      </c>
      <c r="D12" s="187"/>
      <c r="E12" s="187"/>
      <c r="F12" s="187"/>
    </row>
    <row r="13" spans="1:7" ht="14.25" customHeight="1">
      <c r="A13" s="146" t="s">
        <v>40</v>
      </c>
      <c r="B13" s="147"/>
      <c r="C13" s="137" t="s">
        <v>86</v>
      </c>
      <c r="D13" s="138"/>
      <c r="E13" s="138"/>
      <c r="F13" s="138"/>
    </row>
    <row r="14" spans="1:7" ht="17.25" customHeight="1">
      <c r="A14" s="160" t="s">
        <v>41</v>
      </c>
      <c r="B14" s="206"/>
      <c r="C14" s="186"/>
      <c r="D14" s="187"/>
      <c r="E14" s="187"/>
      <c r="F14" s="187"/>
    </row>
    <row r="15" spans="1:7" ht="15" customHeight="1">
      <c r="A15" s="6" t="s">
        <v>10</v>
      </c>
      <c r="B15" s="6"/>
      <c r="C15" s="207" t="s">
        <v>9</v>
      </c>
      <c r="D15" s="208"/>
      <c r="E15" s="208"/>
      <c r="F15" s="208"/>
    </row>
    <row r="16" spans="1:7" ht="14.25" customHeight="1">
      <c r="A16" s="160" t="s">
        <v>242</v>
      </c>
      <c r="B16" s="206"/>
      <c r="C16" s="186" t="s">
        <v>243</v>
      </c>
      <c r="D16" s="187"/>
      <c r="E16" s="187"/>
      <c r="F16" s="187"/>
    </row>
    <row r="17" spans="1:6" ht="14.25" customHeight="1">
      <c r="A17" s="146" t="s">
        <v>244</v>
      </c>
      <c r="B17" s="147"/>
      <c r="C17" s="184" t="s">
        <v>89</v>
      </c>
      <c r="D17" s="185"/>
      <c r="E17" s="185"/>
      <c r="F17" s="185"/>
    </row>
    <row r="18" spans="1:6" ht="14.25" customHeight="1">
      <c r="A18" s="146" t="s">
        <v>245</v>
      </c>
      <c r="B18" s="147"/>
      <c r="C18" s="184"/>
      <c r="D18" s="185"/>
      <c r="E18" s="185"/>
      <c r="F18" s="185"/>
    </row>
    <row r="19" spans="1:6" ht="13.2" customHeight="1">
      <c r="A19" s="145"/>
      <c r="B19" s="209"/>
      <c r="C19" s="184"/>
      <c r="D19" s="185"/>
      <c r="E19" s="185"/>
      <c r="F19" s="185"/>
    </row>
    <row r="20" spans="1:6" ht="14.25" customHeight="1">
      <c r="A20" s="3" t="s">
        <v>16</v>
      </c>
      <c r="B20" s="9"/>
      <c r="C20" s="184"/>
      <c r="D20" s="185"/>
      <c r="E20" s="185"/>
      <c r="F20" s="185"/>
    </row>
    <row r="21" spans="1:6" ht="14.25" customHeight="1">
      <c r="A21" s="160" t="s">
        <v>242</v>
      </c>
      <c r="B21" s="206"/>
      <c r="C21" s="184"/>
      <c r="D21" s="185"/>
      <c r="E21" s="185"/>
      <c r="F21" s="185"/>
    </row>
    <row r="22" spans="1:6" ht="14.25" customHeight="1">
      <c r="A22" s="146" t="s">
        <v>244</v>
      </c>
      <c r="B22" s="147"/>
      <c r="C22" s="184"/>
      <c r="D22" s="185"/>
      <c r="E22" s="185"/>
      <c r="F22" s="185"/>
    </row>
    <row r="23" spans="1:6" ht="14.25" customHeight="1">
      <c r="A23" s="146" t="s">
        <v>245</v>
      </c>
      <c r="B23" s="147"/>
      <c r="C23" s="184"/>
      <c r="D23" s="185"/>
      <c r="E23" s="185"/>
      <c r="F23" s="185"/>
    </row>
    <row r="24" spans="1:6">
      <c r="A24" s="145"/>
      <c r="B24" s="209"/>
      <c r="C24" s="184"/>
      <c r="D24" s="185"/>
      <c r="E24" s="185"/>
      <c r="F24" s="185"/>
    </row>
    <row r="25" spans="1:6">
      <c r="A25" s="9" t="s">
        <v>18</v>
      </c>
      <c r="B25" s="10" t="s">
        <v>19</v>
      </c>
      <c r="C25" s="184"/>
      <c r="D25" s="185"/>
      <c r="E25" s="185"/>
      <c r="F25" s="185"/>
    </row>
    <row r="26" spans="1:6" ht="17.25" customHeight="1">
      <c r="A26" s="11" t="s">
        <v>207</v>
      </c>
      <c r="B26" s="12" t="s">
        <v>246</v>
      </c>
      <c r="C26" s="184"/>
      <c r="D26" s="185"/>
      <c r="E26" s="185"/>
      <c r="F26" s="185"/>
    </row>
    <row r="27" spans="1:6" ht="16.5" customHeight="1">
      <c r="A27" s="9" t="s">
        <v>22</v>
      </c>
      <c r="B27" s="10" t="s">
        <v>23</v>
      </c>
      <c r="C27" s="184"/>
      <c r="D27" s="185"/>
      <c r="E27" s="185"/>
      <c r="F27" s="185"/>
    </row>
    <row r="28" spans="1:6">
      <c r="A28" s="11" t="s">
        <v>247</v>
      </c>
      <c r="B28" s="12" t="s">
        <v>248</v>
      </c>
      <c r="C28" s="186"/>
      <c r="D28" s="187"/>
      <c r="E28" s="187"/>
      <c r="F28" s="187"/>
    </row>
    <row r="29" spans="1:6" ht="14.25" customHeight="1">
      <c r="A29" s="13" t="s">
        <v>26</v>
      </c>
      <c r="B29" s="182" t="s">
        <v>27</v>
      </c>
      <c r="C29" s="183"/>
      <c r="D29" s="34" t="s">
        <v>28</v>
      </c>
      <c r="E29" s="14" t="s">
        <v>29</v>
      </c>
      <c r="F29" s="17" t="s">
        <v>30</v>
      </c>
    </row>
    <row r="30" spans="1:6" ht="12" customHeight="1">
      <c r="A30" s="6"/>
      <c r="B30" s="28"/>
      <c r="C30" s="28"/>
      <c r="D30" s="28" t="s">
        <v>31</v>
      </c>
      <c r="E30" s="28" t="s">
        <v>32</v>
      </c>
      <c r="F30" s="35" t="s">
        <v>33</v>
      </c>
    </row>
    <row r="31" spans="1:6" ht="6" customHeight="1">
      <c r="A31" s="152"/>
      <c r="B31" s="152"/>
      <c r="C31" s="152"/>
      <c r="D31" s="152"/>
      <c r="E31" s="152"/>
      <c r="F31" s="152"/>
    </row>
    <row r="32" spans="1:6" ht="15.75" customHeight="1">
      <c r="A32" s="6"/>
      <c r="B32" s="6"/>
      <c r="C32" s="235" t="s">
        <v>93</v>
      </c>
      <c r="D32" s="235"/>
      <c r="E32" s="153" t="s">
        <v>249</v>
      </c>
      <c r="F32" s="153"/>
    </row>
    <row r="33" spans="1:7" ht="11.25" customHeight="1">
      <c r="A33" s="27"/>
      <c r="B33" s="153"/>
      <c r="C33" s="153"/>
      <c r="D33" s="6"/>
    </row>
    <row r="34" spans="1:7" ht="29.7" customHeight="1">
      <c r="A34" s="36" t="s">
        <v>95</v>
      </c>
      <c r="B34" s="59" t="s">
        <v>250</v>
      </c>
      <c r="C34" s="22"/>
      <c r="D34" s="37">
        <v>190</v>
      </c>
      <c r="E34" s="38">
        <v>1460</v>
      </c>
      <c r="F34" s="38">
        <f>D34*E34</f>
        <v>277400</v>
      </c>
      <c r="G34" s="39"/>
    </row>
    <row r="35" spans="1:7" ht="15" customHeight="1">
      <c r="A35" s="27"/>
      <c r="E35" s="40"/>
      <c r="F35" s="40"/>
    </row>
    <row r="36" spans="1:7" ht="15" customHeight="1">
      <c r="A36" s="27"/>
      <c r="B36" s="153" t="s">
        <v>251</v>
      </c>
      <c r="C36" s="153"/>
      <c r="D36" s="153"/>
      <c r="E36" s="40"/>
      <c r="F36" s="40"/>
    </row>
    <row r="37" spans="1:7" ht="15" customHeight="1">
      <c r="A37" s="27"/>
      <c r="B37" s="153" t="s">
        <v>252</v>
      </c>
      <c r="C37" s="153"/>
      <c r="D37" s="7"/>
      <c r="E37" s="40"/>
      <c r="F37" s="40"/>
    </row>
    <row r="38" spans="1:7" ht="15" customHeight="1">
      <c r="A38" s="27"/>
      <c r="B38" s="153" t="s">
        <v>99</v>
      </c>
      <c r="C38" s="153"/>
      <c r="D38" s="153"/>
      <c r="E38" s="153"/>
      <c r="F38" s="153"/>
    </row>
    <row r="39" spans="1:7" ht="15" customHeight="1">
      <c r="A39" s="27"/>
      <c r="B39" s="27"/>
      <c r="C39" s="27"/>
      <c r="D39" s="26"/>
      <c r="E39" s="41"/>
      <c r="F39" s="26"/>
    </row>
    <row r="40" spans="1:7" ht="15" customHeight="1">
      <c r="A40" s="27"/>
      <c r="B40" s="27"/>
      <c r="C40" s="27"/>
      <c r="D40" s="26"/>
      <c r="E40" s="41"/>
      <c r="F40" s="26"/>
    </row>
    <row r="41" spans="1:7" ht="15" customHeight="1">
      <c r="A41" s="153"/>
      <c r="B41" s="153"/>
      <c r="C41" s="7"/>
      <c r="D41" s="28"/>
      <c r="E41" s="21"/>
      <c r="F41" s="21"/>
    </row>
    <row r="42" spans="1:7" ht="15" customHeight="1">
      <c r="A42" s="156"/>
      <c r="B42" s="156"/>
      <c r="C42" s="29"/>
      <c r="D42" s="29"/>
      <c r="E42" s="30"/>
      <c r="F42" s="30"/>
    </row>
    <row r="43" spans="1:7" ht="15" customHeight="1">
      <c r="A43" s="21"/>
      <c r="B43" s="28" t="s">
        <v>37</v>
      </c>
      <c r="C43" s="28"/>
      <c r="D43" s="42" t="s">
        <v>253</v>
      </c>
      <c r="E43" s="28"/>
      <c r="F43" s="61" t="s">
        <v>254</v>
      </c>
    </row>
    <row r="44" spans="1:7" ht="15" customHeight="1">
      <c r="A44" s="21"/>
      <c r="B44" s="28"/>
      <c r="C44" s="28"/>
      <c r="D44" s="28"/>
      <c r="E44" s="28"/>
      <c r="F44" s="28"/>
    </row>
    <row r="45" spans="1:7" ht="21.75" customHeight="1">
      <c r="A45" s="21"/>
      <c r="B45" s="28"/>
      <c r="C45" s="28"/>
      <c r="D45" s="28"/>
      <c r="E45" s="28"/>
      <c r="F45" s="21"/>
    </row>
    <row r="46" spans="1:7">
      <c r="A46" s="152"/>
      <c r="B46" s="152"/>
      <c r="C46" s="152"/>
      <c r="D46" s="152"/>
      <c r="E46" s="152"/>
      <c r="F46" s="152"/>
    </row>
    <row r="47" spans="1:7">
      <c r="A47" s="43"/>
    </row>
    <row r="52" spans="5:5">
      <c r="E52" s="44" t="s">
        <v>38</v>
      </c>
    </row>
  </sheetData>
  <mergeCells count="32">
    <mergeCell ref="A2:F9"/>
    <mergeCell ref="B37:C37"/>
    <mergeCell ref="B38:F38"/>
    <mergeCell ref="A41:B41"/>
    <mergeCell ref="A42:B42"/>
    <mergeCell ref="A46:F46"/>
    <mergeCell ref="A31:F31"/>
    <mergeCell ref="C32:D32"/>
    <mergeCell ref="E32:F32"/>
    <mergeCell ref="B33:C33"/>
    <mergeCell ref="B36:D36"/>
    <mergeCell ref="A21:B21"/>
    <mergeCell ref="A22:B22"/>
    <mergeCell ref="A23:B23"/>
    <mergeCell ref="A24:B24"/>
    <mergeCell ref="B29:C29"/>
    <mergeCell ref="C17:F28"/>
    <mergeCell ref="A16:B16"/>
    <mergeCell ref="C16:F16"/>
    <mergeCell ref="A17:B17"/>
    <mergeCell ref="A18:B18"/>
    <mergeCell ref="A19:B19"/>
    <mergeCell ref="A13:B13"/>
    <mergeCell ref="C13:F13"/>
    <mergeCell ref="A14:B14"/>
    <mergeCell ref="C14:F14"/>
    <mergeCell ref="C15:F15"/>
    <mergeCell ref="A10:B10"/>
    <mergeCell ref="A11:B11"/>
    <mergeCell ref="C11:F11"/>
    <mergeCell ref="A12:B12"/>
    <mergeCell ref="C12:F12"/>
  </mergeCells>
  <phoneticPr fontId="25" type="noConversion"/>
  <printOptions horizontalCentered="1"/>
  <pageMargins left="0.39370078740157499" right="0.39370078740157499" top="0.74803149606299202" bottom="0.74803149606299202" header="0.31496062992126" footer="0.31496062992126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6"/>
  <dimension ref="A2:H44"/>
  <sheetViews>
    <sheetView workbookViewId="0">
      <selection activeCell="B28" sqref="B28:D28"/>
    </sheetView>
  </sheetViews>
  <sheetFormatPr defaultColWidth="9" defaultRowHeight="12"/>
  <cols>
    <col min="1" max="1" width="20.796875" style="1" customWidth="1"/>
    <col min="2" max="2" width="19.796875" style="1" customWidth="1"/>
    <col min="3" max="3" width="5.69921875" style="1" customWidth="1"/>
    <col min="4" max="4" width="11.59765625" style="1" customWidth="1"/>
    <col min="5" max="5" width="8.59765625" style="1" customWidth="1"/>
    <col min="6" max="6" width="10.69921875" style="1" customWidth="1"/>
    <col min="7" max="7" width="9.296875" style="1" customWidth="1"/>
    <col min="8" max="8" width="11.8984375" style="1" customWidth="1"/>
    <col min="9" max="16384" width="9" style="1"/>
  </cols>
  <sheetData>
    <row r="2" spans="1:8" ht="14.25" customHeight="1">
      <c r="A2" s="157" t="s">
        <v>39</v>
      </c>
      <c r="B2" s="157"/>
      <c r="C2" s="157"/>
      <c r="D2" s="157"/>
      <c r="E2" s="157"/>
      <c r="F2" s="157"/>
      <c r="G2" s="157"/>
      <c r="H2" s="2"/>
    </row>
    <row r="3" spans="1:8" ht="14.25" customHeight="1">
      <c r="A3" s="157"/>
      <c r="B3" s="157"/>
      <c r="C3" s="157"/>
      <c r="D3" s="157"/>
      <c r="E3" s="157"/>
      <c r="F3" s="157"/>
      <c r="G3" s="157"/>
      <c r="H3" s="2"/>
    </row>
    <row r="4" spans="1:8" ht="14.25" customHeight="1">
      <c r="A4" s="157"/>
      <c r="B4" s="157"/>
      <c r="C4" s="157"/>
      <c r="D4" s="157"/>
      <c r="E4" s="157"/>
      <c r="F4" s="157"/>
      <c r="G4" s="157"/>
      <c r="H4" s="2"/>
    </row>
    <row r="5" spans="1:8" ht="12" customHeight="1">
      <c r="A5" s="157"/>
      <c r="B5" s="157"/>
      <c r="C5" s="157"/>
      <c r="D5" s="157"/>
      <c r="E5" s="157"/>
      <c r="F5" s="157"/>
      <c r="G5" s="157"/>
      <c r="H5" s="2"/>
    </row>
    <row r="6" spans="1:8">
      <c r="A6" s="172"/>
      <c r="B6" s="172"/>
      <c r="C6" s="172"/>
      <c r="D6" s="172"/>
      <c r="E6" s="172"/>
      <c r="F6" s="172"/>
      <c r="G6" s="172"/>
    </row>
    <row r="7" spans="1:8" customFormat="1" ht="15" customHeight="1">
      <c r="A7" s="131" t="s">
        <v>1</v>
      </c>
      <c r="B7" s="131"/>
      <c r="C7" s="137" t="s">
        <v>2</v>
      </c>
      <c r="D7" s="138"/>
      <c r="E7" s="138"/>
      <c r="F7" s="138"/>
      <c r="G7" s="138"/>
    </row>
    <row r="8" spans="1:8" customFormat="1" ht="12" customHeight="1">
      <c r="A8" s="134" t="s">
        <v>3</v>
      </c>
      <c r="B8" s="134"/>
      <c r="C8" s="161" t="s">
        <v>241</v>
      </c>
      <c r="D8" s="146"/>
      <c r="E8" s="146"/>
      <c r="F8" s="146"/>
      <c r="G8" s="146"/>
    </row>
    <row r="9" spans="1:8" customFormat="1" ht="14.25" customHeight="1">
      <c r="A9" s="134" t="s">
        <v>5</v>
      </c>
      <c r="B9" s="134"/>
      <c r="C9" s="161"/>
      <c r="D9" s="146"/>
      <c r="E9" s="146"/>
      <c r="F9" s="146"/>
      <c r="G9" s="146"/>
    </row>
    <row r="10" spans="1:8" customFormat="1" ht="15" customHeight="1">
      <c r="A10" s="148" t="s">
        <v>7</v>
      </c>
      <c r="B10" s="148"/>
      <c r="C10" s="144"/>
      <c r="D10" s="145"/>
      <c r="E10" s="145"/>
      <c r="F10" s="145"/>
      <c r="G10" s="145"/>
    </row>
    <row r="11" spans="1:8" customFormat="1" ht="15" customHeight="1">
      <c r="A11" s="6" t="s">
        <v>10</v>
      </c>
      <c r="B11" s="6"/>
      <c r="C11" s="199"/>
      <c r="D11" s="153"/>
      <c r="E11" s="153"/>
      <c r="F11" s="153"/>
      <c r="G11" s="153"/>
    </row>
    <row r="12" spans="1:8" customFormat="1" ht="14.25" customHeight="1">
      <c r="A12" s="146" t="s">
        <v>242</v>
      </c>
      <c r="B12" s="146"/>
      <c r="C12" s="199" t="s">
        <v>103</v>
      </c>
      <c r="D12" s="153"/>
      <c r="E12" s="153"/>
      <c r="F12" s="153"/>
      <c r="G12" s="153"/>
    </row>
    <row r="13" spans="1:8" customFormat="1" ht="14.25" customHeight="1">
      <c r="A13" s="146" t="s">
        <v>244</v>
      </c>
      <c r="B13" s="146"/>
      <c r="C13" s="199"/>
      <c r="D13" s="153"/>
      <c r="E13" s="153"/>
      <c r="F13" s="153"/>
      <c r="G13" s="153"/>
    </row>
    <row r="14" spans="1:8" customFormat="1" ht="14.25" customHeight="1">
      <c r="A14" s="8" t="s">
        <v>245</v>
      </c>
      <c r="B14" s="8"/>
      <c r="C14" s="199"/>
      <c r="D14" s="153"/>
      <c r="E14" s="153"/>
      <c r="F14" s="153"/>
      <c r="G14" s="153"/>
    </row>
    <row r="15" spans="1:8" customFormat="1" ht="14.25" customHeight="1">
      <c r="A15" s="146"/>
      <c r="B15" s="146"/>
      <c r="C15" s="199"/>
      <c r="D15" s="153"/>
      <c r="E15" s="153"/>
      <c r="F15" s="153"/>
      <c r="G15" s="153"/>
    </row>
    <row r="16" spans="1:8" customFormat="1" ht="15" customHeight="1">
      <c r="A16" s="131" t="s">
        <v>16</v>
      </c>
      <c r="B16" s="131"/>
      <c r="C16" s="199"/>
      <c r="D16" s="153"/>
      <c r="E16" s="153"/>
      <c r="F16" s="153"/>
      <c r="G16" s="153"/>
    </row>
    <row r="17" spans="1:8" customFormat="1" ht="14.25" customHeight="1">
      <c r="A17" s="146" t="s">
        <v>242</v>
      </c>
      <c r="B17" s="146"/>
      <c r="C17" s="199"/>
      <c r="D17" s="153"/>
      <c r="E17" s="153"/>
      <c r="F17" s="153"/>
      <c r="G17" s="153"/>
    </row>
    <row r="18" spans="1:8" customFormat="1" ht="14.25" customHeight="1">
      <c r="A18" s="146" t="s">
        <v>244</v>
      </c>
      <c r="B18" s="146"/>
      <c r="C18" s="199"/>
      <c r="D18" s="153"/>
      <c r="E18" s="153"/>
      <c r="F18" s="153"/>
      <c r="G18" s="153"/>
    </row>
    <row r="19" spans="1:8" customFormat="1" ht="14.25" customHeight="1">
      <c r="A19" s="8" t="s">
        <v>245</v>
      </c>
      <c r="B19" s="8"/>
      <c r="C19" s="199"/>
      <c r="D19" s="153"/>
      <c r="E19" s="153"/>
      <c r="F19" s="153"/>
      <c r="G19" s="153"/>
    </row>
    <row r="20" spans="1:8" customFormat="1" ht="15.6">
      <c r="A20" s="9" t="s">
        <v>18</v>
      </c>
      <c r="B20" s="10" t="s">
        <v>19</v>
      </c>
      <c r="C20" s="199"/>
      <c r="D20" s="153"/>
      <c r="E20" s="153"/>
      <c r="F20" s="153"/>
      <c r="G20" s="153"/>
    </row>
    <row r="21" spans="1:8" customFormat="1" ht="19.5" customHeight="1">
      <c r="A21" s="11" t="s">
        <v>207</v>
      </c>
      <c r="B21" s="12" t="s">
        <v>246</v>
      </c>
      <c r="C21" s="199"/>
      <c r="D21" s="153"/>
      <c r="E21" s="153"/>
      <c r="F21" s="153"/>
      <c r="G21" s="153"/>
    </row>
    <row r="22" spans="1:8" customFormat="1" ht="16.5" customHeight="1">
      <c r="A22" s="9" t="s">
        <v>22</v>
      </c>
      <c r="B22" s="10" t="s">
        <v>23</v>
      </c>
      <c r="C22" s="199"/>
      <c r="D22" s="153"/>
      <c r="E22" s="153"/>
      <c r="F22" s="153"/>
      <c r="G22" s="153"/>
    </row>
    <row r="23" spans="1:8" customFormat="1" ht="18.75" customHeight="1">
      <c r="A23" s="11" t="s">
        <v>247</v>
      </c>
      <c r="B23" s="12" t="s">
        <v>248</v>
      </c>
      <c r="C23" s="200"/>
      <c r="D23" s="201"/>
      <c r="E23" s="201"/>
      <c r="F23" s="201"/>
      <c r="G23" s="201"/>
    </row>
    <row r="24" spans="1:8" customFormat="1" ht="30.6">
      <c r="A24" s="13" t="s">
        <v>26</v>
      </c>
      <c r="B24" s="182" t="s">
        <v>27</v>
      </c>
      <c r="C24" s="183"/>
      <c r="D24" s="14" t="s">
        <v>106</v>
      </c>
      <c r="E24" s="15" t="s">
        <v>107</v>
      </c>
      <c r="F24" s="16" t="s">
        <v>108</v>
      </c>
      <c r="G24" s="17" t="s">
        <v>109</v>
      </c>
    </row>
    <row r="25" spans="1:8" customFormat="1" ht="15.6">
      <c r="A25" s="18"/>
      <c r="B25" s="19"/>
      <c r="C25" s="19"/>
      <c r="D25" s="20"/>
      <c r="E25" s="19"/>
      <c r="F25" s="19"/>
      <c r="G25" s="20"/>
    </row>
    <row r="26" spans="1:8" ht="11.25" customHeight="1">
      <c r="A26" s="21"/>
      <c r="B26" s="59" t="s">
        <v>255</v>
      </c>
      <c r="C26" s="22"/>
      <c r="D26" s="60">
        <v>10</v>
      </c>
      <c r="E26" s="61">
        <v>190000</v>
      </c>
      <c r="F26" s="62">
        <v>227970</v>
      </c>
      <c r="G26" s="21"/>
      <c r="H26" s="21"/>
    </row>
    <row r="27" spans="1:8" ht="12" customHeight="1">
      <c r="A27" s="7"/>
      <c r="B27" s="22" t="s">
        <v>256</v>
      </c>
      <c r="C27" s="43"/>
      <c r="D27" s="43"/>
      <c r="E27" s="24"/>
      <c r="F27" s="24"/>
      <c r="G27" s="25"/>
      <c r="H27" s="26"/>
    </row>
    <row r="28" spans="1:8" ht="12" customHeight="1">
      <c r="A28" s="27"/>
      <c r="B28" s="153" t="s">
        <v>251</v>
      </c>
      <c r="C28" s="153"/>
      <c r="D28" s="153"/>
      <c r="E28" s="24"/>
      <c r="F28" s="24"/>
      <c r="G28" s="25"/>
      <c r="H28" s="26"/>
    </row>
    <row r="29" spans="1:8" ht="11.25" customHeight="1">
      <c r="A29" s="21"/>
      <c r="B29" s="153" t="s">
        <v>252</v>
      </c>
      <c r="C29" s="153"/>
      <c r="D29" s="7"/>
      <c r="E29" s="21"/>
      <c r="F29" s="21"/>
      <c r="G29" s="21"/>
      <c r="H29" s="21"/>
    </row>
    <row r="30" spans="1:8">
      <c r="A30" s="21"/>
      <c r="B30" s="21"/>
      <c r="C30" s="21"/>
      <c r="D30" s="28"/>
      <c r="E30" s="21"/>
      <c r="F30" s="21"/>
      <c r="G30" s="21"/>
      <c r="H30" s="21"/>
    </row>
    <row r="31" spans="1:8">
      <c r="A31" s="21"/>
      <c r="B31" s="21"/>
      <c r="C31" s="21"/>
      <c r="D31" s="28"/>
      <c r="E31" s="21"/>
      <c r="F31" s="21"/>
      <c r="G31" s="21"/>
      <c r="H31" s="21"/>
    </row>
    <row r="32" spans="1:8">
      <c r="A32" s="156"/>
      <c r="B32" s="156"/>
      <c r="C32" s="29" t="s">
        <v>145</v>
      </c>
      <c r="D32" s="29"/>
      <c r="E32" s="30"/>
      <c r="F32" s="30"/>
      <c r="G32" s="30"/>
      <c r="H32" s="21"/>
    </row>
    <row r="33" spans="1:8" ht="22.8">
      <c r="A33" s="21"/>
      <c r="B33" s="28"/>
      <c r="C33" s="28"/>
      <c r="D33" s="28" t="s">
        <v>257</v>
      </c>
      <c r="E33" s="28" t="s">
        <v>258</v>
      </c>
      <c r="F33" s="28" t="s">
        <v>259</v>
      </c>
      <c r="G33" s="31" t="s">
        <v>260</v>
      </c>
      <c r="H33" s="21"/>
    </row>
    <row r="34" spans="1:8">
      <c r="A34" s="21"/>
      <c r="B34" s="28"/>
      <c r="C34" s="28"/>
      <c r="D34" s="28"/>
      <c r="E34" s="28"/>
      <c r="F34" s="28"/>
      <c r="G34" s="28"/>
      <c r="H34" s="21"/>
    </row>
    <row r="35" spans="1:8">
      <c r="A35" s="21"/>
      <c r="D35" s="28"/>
      <c r="E35" s="28"/>
      <c r="F35" s="28"/>
      <c r="G35" s="28"/>
      <c r="H35" s="21"/>
    </row>
    <row r="36" spans="1:8">
      <c r="B36" s="8"/>
      <c r="C36" s="8"/>
      <c r="D36" s="21"/>
      <c r="E36" s="21" t="s">
        <v>116</v>
      </c>
      <c r="F36" s="21"/>
      <c r="G36" s="21"/>
      <c r="H36" s="21"/>
    </row>
    <row r="37" spans="1:8">
      <c r="A37" s="21" t="s">
        <v>117</v>
      </c>
      <c r="B37" s="8"/>
      <c r="C37" s="8"/>
      <c r="D37" s="21"/>
      <c r="E37" s="21"/>
      <c r="F37" s="21"/>
      <c r="G37" s="21"/>
      <c r="H37" s="21"/>
    </row>
    <row r="38" spans="1:8" ht="36" customHeight="1">
      <c r="A38" s="21"/>
      <c r="B38" s="146"/>
      <c r="C38" s="146"/>
      <c r="D38" s="146"/>
      <c r="E38" s="146"/>
      <c r="F38" s="146"/>
      <c r="G38" s="146"/>
      <c r="H38" s="21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198"/>
      <c r="B40" s="198"/>
      <c r="C40" s="198"/>
      <c r="D40" s="198"/>
      <c r="E40" s="198"/>
      <c r="F40" s="198"/>
      <c r="G40" s="198"/>
      <c r="H40" s="198"/>
    </row>
    <row r="44" spans="1:8">
      <c r="E44" s="32" t="s">
        <v>118</v>
      </c>
      <c r="F44" s="32"/>
    </row>
  </sheetData>
  <mergeCells count="23">
    <mergeCell ref="A2:G6"/>
    <mergeCell ref="B28:D28"/>
    <mergeCell ref="B29:C29"/>
    <mergeCell ref="A32:B32"/>
    <mergeCell ref="B38:G38"/>
    <mergeCell ref="A40:H40"/>
    <mergeCell ref="A15:B15"/>
    <mergeCell ref="A16:B16"/>
    <mergeCell ref="A17:B17"/>
    <mergeCell ref="A18:B18"/>
    <mergeCell ref="B24:C24"/>
    <mergeCell ref="C12:G23"/>
    <mergeCell ref="A10:B10"/>
    <mergeCell ref="C10:G10"/>
    <mergeCell ref="C11:G11"/>
    <mergeCell ref="A12:B12"/>
    <mergeCell ref="A13:B13"/>
    <mergeCell ref="A7:B7"/>
    <mergeCell ref="C7:G7"/>
    <mergeCell ref="A8:B8"/>
    <mergeCell ref="C8:G8"/>
    <mergeCell ref="A9:B9"/>
    <mergeCell ref="C9:G9"/>
  </mergeCells>
  <phoneticPr fontId="25" type="noConversion"/>
  <printOptions horizontalCentered="1"/>
  <pageMargins left="0.47244094488188998" right="0.47244094488188998" top="0.74803149606299202" bottom="0.74803149606299202" header="0.31496062992126" footer="0.31496062992126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7">
    <pageSetUpPr fitToPage="1"/>
  </sheetPr>
  <dimension ref="A2:G49"/>
  <sheetViews>
    <sheetView topLeftCell="A5" workbookViewId="0">
      <selection activeCell="C12" sqref="C12:F12"/>
    </sheetView>
  </sheetViews>
  <sheetFormatPr defaultColWidth="9" defaultRowHeight="15.6"/>
  <cols>
    <col min="1" max="1" width="22.69921875" customWidth="1"/>
    <col min="2" max="2" width="24.5" customWidth="1"/>
    <col min="3" max="3" width="9" customWidth="1"/>
    <col min="4" max="4" width="11.59765625" customWidth="1"/>
    <col min="5" max="5" width="14.09765625" customWidth="1"/>
    <col min="6" max="6" width="11.59765625" customWidth="1"/>
    <col min="7" max="7" width="12.69921875" customWidth="1"/>
  </cols>
  <sheetData>
    <row r="2" spans="1:7">
      <c r="A2" s="157" t="s">
        <v>0</v>
      </c>
      <c r="B2" s="157"/>
      <c r="C2" s="157"/>
      <c r="D2" s="157"/>
      <c r="E2" s="157"/>
      <c r="F2" s="157"/>
      <c r="G2" s="8"/>
    </row>
    <row r="3" spans="1:7">
      <c r="A3" s="157"/>
      <c r="B3" s="157"/>
      <c r="C3" s="157"/>
      <c r="D3" s="157"/>
      <c r="E3" s="157"/>
      <c r="F3" s="157"/>
      <c r="G3" s="8"/>
    </row>
    <row r="4" spans="1:7">
      <c r="A4" s="157"/>
      <c r="B4" s="157"/>
      <c r="C4" s="157"/>
      <c r="D4" s="157"/>
      <c r="E4" s="157"/>
      <c r="F4" s="157"/>
      <c r="G4" s="8"/>
    </row>
    <row r="5" spans="1:7">
      <c r="A5" s="157"/>
      <c r="B5" s="157"/>
      <c r="C5" s="157"/>
      <c r="D5" s="157"/>
      <c r="E5" s="157"/>
      <c r="F5" s="157"/>
      <c r="G5" s="1"/>
    </row>
    <row r="6" spans="1:7" ht="15.75" customHeight="1">
      <c r="A6" s="157"/>
      <c r="B6" s="157"/>
      <c r="C6" s="157"/>
      <c r="D6" s="157"/>
      <c r="E6" s="157"/>
      <c r="F6" s="157"/>
    </row>
    <row r="7" spans="1:7" ht="2.25" customHeight="1">
      <c r="A7" s="157"/>
      <c r="B7" s="157"/>
      <c r="C7" s="157"/>
      <c r="D7" s="157"/>
      <c r="E7" s="157"/>
      <c r="F7" s="157"/>
    </row>
    <row r="8" spans="1:7" ht="13.5" hidden="1" customHeight="1">
      <c r="A8" s="157"/>
      <c r="B8" s="157"/>
      <c r="C8" s="158"/>
      <c r="D8" s="157"/>
      <c r="E8" s="157"/>
      <c r="F8" s="157"/>
    </row>
    <row r="9" spans="1:7" ht="17.25" hidden="1" customHeight="1">
      <c r="A9" s="157"/>
      <c r="B9" s="157"/>
      <c r="C9" s="157"/>
      <c r="D9" s="157"/>
      <c r="E9" s="157"/>
      <c r="F9" s="157"/>
    </row>
    <row r="10" spans="1:7" ht="13.5" customHeight="1">
      <c r="A10" s="146"/>
      <c r="B10" s="147"/>
      <c r="C10" s="4"/>
    </row>
    <row r="11" spans="1:7" ht="15" customHeight="1">
      <c r="A11" s="131" t="s">
        <v>1</v>
      </c>
      <c r="B11" s="131"/>
      <c r="C11" s="204" t="s">
        <v>2</v>
      </c>
      <c r="D11" s="205"/>
      <c r="E11" s="205"/>
      <c r="F11" s="205"/>
    </row>
    <row r="12" spans="1:7" ht="12" customHeight="1">
      <c r="A12" s="134" t="s">
        <v>3</v>
      </c>
      <c r="B12" s="134"/>
      <c r="C12" s="186" t="s">
        <v>261</v>
      </c>
      <c r="D12" s="187"/>
      <c r="E12" s="187"/>
      <c r="F12" s="187"/>
    </row>
    <row r="13" spans="1:7" ht="14.25" customHeight="1">
      <c r="A13" s="134" t="s">
        <v>5</v>
      </c>
      <c r="B13" s="134"/>
      <c r="C13" s="137" t="s">
        <v>86</v>
      </c>
      <c r="D13" s="138"/>
      <c r="E13" s="138"/>
      <c r="F13" s="138"/>
    </row>
    <row r="14" spans="1:7" ht="17.25" customHeight="1">
      <c r="A14" s="148" t="s">
        <v>7</v>
      </c>
      <c r="B14" s="148"/>
      <c r="C14" s="186"/>
      <c r="D14" s="187"/>
      <c r="E14" s="187"/>
      <c r="F14" s="187"/>
    </row>
    <row r="15" spans="1:7" ht="15" customHeight="1">
      <c r="A15" s="6" t="s">
        <v>10</v>
      </c>
      <c r="B15" s="6"/>
      <c r="C15" s="207" t="s">
        <v>9</v>
      </c>
      <c r="D15" s="208"/>
      <c r="E15" s="208"/>
      <c r="F15" s="208"/>
    </row>
    <row r="16" spans="1:7" ht="14.25" customHeight="1">
      <c r="A16" s="146" t="s">
        <v>120</v>
      </c>
      <c r="B16" s="146"/>
      <c r="C16" s="186" t="s">
        <v>262</v>
      </c>
      <c r="D16" s="187"/>
      <c r="E16" s="187"/>
      <c r="F16" s="187"/>
    </row>
    <row r="17" spans="1:7" ht="14.25" customHeight="1">
      <c r="A17" s="146" t="s">
        <v>122</v>
      </c>
      <c r="B17" s="146"/>
      <c r="C17" s="184" t="s">
        <v>263</v>
      </c>
      <c r="D17" s="185"/>
      <c r="E17" s="185"/>
      <c r="F17" s="185"/>
    </row>
    <row r="18" spans="1:7" ht="14.25" customHeight="1">
      <c r="A18" s="8" t="s">
        <v>123</v>
      </c>
      <c r="B18" s="8"/>
      <c r="C18" s="184"/>
      <c r="D18" s="185"/>
      <c r="E18" s="185"/>
      <c r="F18" s="185"/>
    </row>
    <row r="19" spans="1:7" ht="6.75" customHeight="1">
      <c r="A19" s="146"/>
      <c r="B19" s="146"/>
      <c r="C19" s="184"/>
      <c r="D19" s="185"/>
      <c r="E19" s="185"/>
      <c r="F19" s="185"/>
    </row>
    <row r="20" spans="1:7" ht="14.25" customHeight="1">
      <c r="A20" s="131" t="s">
        <v>16</v>
      </c>
      <c r="B20" s="131"/>
      <c r="C20" s="184"/>
      <c r="D20" s="185"/>
      <c r="E20" s="185"/>
      <c r="F20" s="185"/>
    </row>
    <row r="21" spans="1:7" ht="14.25" customHeight="1">
      <c r="A21" s="180" t="s">
        <v>120</v>
      </c>
      <c r="B21" s="180"/>
      <c r="C21" s="184"/>
      <c r="D21" s="185"/>
      <c r="E21" s="185"/>
      <c r="F21" s="185"/>
    </row>
    <row r="22" spans="1:7" ht="14.25" customHeight="1">
      <c r="A22" s="146" t="s">
        <v>122</v>
      </c>
      <c r="B22" s="146"/>
      <c r="C22" s="184"/>
      <c r="D22" s="185"/>
      <c r="E22" s="185"/>
      <c r="F22" s="185"/>
    </row>
    <row r="23" spans="1:7" ht="14.25" customHeight="1">
      <c r="A23" s="8" t="s">
        <v>123</v>
      </c>
      <c r="B23" s="8"/>
      <c r="C23" s="184"/>
      <c r="D23" s="185"/>
      <c r="E23" s="185"/>
      <c r="F23" s="185"/>
    </row>
    <row r="24" spans="1:7">
      <c r="A24" s="9" t="s">
        <v>18</v>
      </c>
      <c r="B24" s="10" t="s">
        <v>19</v>
      </c>
      <c r="C24" s="184"/>
      <c r="D24" s="185"/>
      <c r="E24" s="185"/>
      <c r="F24" s="185"/>
    </row>
    <row r="25" spans="1:7" ht="21.75" customHeight="1">
      <c r="A25" s="11" t="s">
        <v>157</v>
      </c>
      <c r="B25" s="12" t="s">
        <v>91</v>
      </c>
      <c r="C25" s="184"/>
      <c r="D25" s="185"/>
      <c r="E25" s="185"/>
      <c r="F25" s="185"/>
    </row>
    <row r="26" spans="1:7" ht="16.5" customHeight="1">
      <c r="A26" s="9" t="s">
        <v>22</v>
      </c>
      <c r="B26" s="10" t="s">
        <v>23</v>
      </c>
      <c r="C26" s="184"/>
      <c r="D26" s="185"/>
      <c r="E26" s="185"/>
      <c r="F26" s="185"/>
    </row>
    <row r="27" spans="1:7">
      <c r="A27" s="11" t="s">
        <v>264</v>
      </c>
      <c r="B27" s="12" t="s">
        <v>265</v>
      </c>
      <c r="C27" s="186"/>
      <c r="D27" s="187"/>
      <c r="E27" s="187"/>
      <c r="F27" s="187"/>
    </row>
    <row r="28" spans="1:7" ht="14.25" customHeight="1">
      <c r="A28" s="13" t="s">
        <v>26</v>
      </c>
      <c r="B28" s="182" t="s">
        <v>27</v>
      </c>
      <c r="C28" s="183"/>
      <c r="D28" s="34" t="s">
        <v>28</v>
      </c>
      <c r="E28" s="14" t="s">
        <v>29</v>
      </c>
      <c r="F28" s="17" t="s">
        <v>30</v>
      </c>
    </row>
    <row r="29" spans="1:7" ht="12" customHeight="1">
      <c r="A29" s="6"/>
      <c r="B29" s="28"/>
      <c r="C29" s="28"/>
      <c r="D29" s="28" t="s">
        <v>31</v>
      </c>
      <c r="E29" s="28" t="s">
        <v>266</v>
      </c>
      <c r="F29" s="35" t="s">
        <v>267</v>
      </c>
    </row>
    <row r="30" spans="1:7" ht="11.25" customHeight="1">
      <c r="A30" s="27"/>
      <c r="B30" s="153"/>
      <c r="C30" s="153"/>
      <c r="D30" s="6"/>
    </row>
    <row r="31" spans="1:7" ht="15" customHeight="1">
      <c r="A31" s="36" t="s">
        <v>95</v>
      </c>
      <c r="B31" s="51" t="s">
        <v>268</v>
      </c>
      <c r="C31" s="22"/>
      <c r="D31" s="38">
        <v>43.98</v>
      </c>
      <c r="E31" s="38">
        <v>3900</v>
      </c>
      <c r="F31" s="38">
        <f>D31*E31</f>
        <v>171522</v>
      </c>
      <c r="G31" s="39"/>
    </row>
    <row r="32" spans="1:7" ht="15" customHeight="1">
      <c r="A32" s="27"/>
      <c r="B32" s="21" t="s">
        <v>269</v>
      </c>
      <c r="C32" s="21"/>
      <c r="D32" s="21"/>
      <c r="E32" s="40"/>
      <c r="F32" s="40"/>
    </row>
    <row r="33" spans="1:6" ht="15" customHeight="1">
      <c r="A33" s="27"/>
      <c r="B33" s="22" t="s">
        <v>270</v>
      </c>
      <c r="C33" s="22"/>
      <c r="D33" s="22"/>
      <c r="E33" s="40"/>
      <c r="F33" s="40"/>
    </row>
    <row r="34" spans="1:6" ht="15" customHeight="1">
      <c r="A34" s="27"/>
      <c r="B34" s="21" t="s">
        <v>98</v>
      </c>
      <c r="C34" s="21"/>
      <c r="D34" s="21"/>
      <c r="E34" s="40"/>
      <c r="F34" s="40"/>
    </row>
    <row r="35" spans="1:6" ht="15" customHeight="1">
      <c r="A35" s="27"/>
      <c r="B35" s="153" t="s">
        <v>271</v>
      </c>
      <c r="C35" s="153"/>
      <c r="D35" s="153"/>
      <c r="E35" s="21"/>
      <c r="F35" s="21"/>
    </row>
    <row r="36" spans="1:6" ht="15" customHeight="1">
      <c r="A36" s="27"/>
      <c r="B36" s="27"/>
      <c r="C36" s="27"/>
      <c r="D36" s="26"/>
      <c r="E36" s="41"/>
      <c r="F36" s="26"/>
    </row>
    <row r="37" spans="1:6" ht="15" customHeight="1">
      <c r="A37" s="27"/>
      <c r="B37" s="27"/>
      <c r="C37" s="27"/>
      <c r="D37" s="26"/>
      <c r="E37" s="41"/>
      <c r="F37" s="26"/>
    </row>
    <row r="38" spans="1:6" ht="15" customHeight="1">
      <c r="A38" s="153"/>
      <c r="B38" s="153"/>
      <c r="C38" s="7"/>
      <c r="D38" s="28"/>
      <c r="E38" s="21"/>
      <c r="F38" s="21"/>
    </row>
    <row r="39" spans="1:6" ht="15" customHeight="1">
      <c r="A39" s="156"/>
      <c r="B39" s="156"/>
      <c r="C39" s="29"/>
      <c r="D39" s="29"/>
      <c r="E39" s="30"/>
      <c r="F39" s="30"/>
    </row>
    <row r="40" spans="1:6" ht="15" customHeight="1">
      <c r="A40" s="21"/>
      <c r="B40" s="28" t="s">
        <v>37</v>
      </c>
      <c r="C40" s="28"/>
      <c r="D40" s="42" t="s">
        <v>272</v>
      </c>
      <c r="E40" s="28"/>
      <c r="F40" s="58">
        <f>F31</f>
        <v>171522</v>
      </c>
    </row>
    <row r="41" spans="1:6" ht="15" customHeight="1">
      <c r="A41" s="21"/>
      <c r="B41" s="28"/>
      <c r="C41" s="28"/>
      <c r="D41" s="28"/>
      <c r="E41" s="28"/>
      <c r="F41" s="28"/>
    </row>
    <row r="42" spans="1:6" ht="21.75" customHeight="1">
      <c r="A42" s="21"/>
      <c r="B42" s="28"/>
      <c r="C42" s="28"/>
      <c r="D42" s="28"/>
      <c r="E42" s="28"/>
      <c r="F42" s="21"/>
    </row>
    <row r="43" spans="1:6">
      <c r="A43" s="152"/>
      <c r="B43" s="152"/>
      <c r="C43" s="152"/>
      <c r="D43" s="152"/>
      <c r="E43" s="152"/>
      <c r="F43" s="152"/>
    </row>
    <row r="44" spans="1:6">
      <c r="A44" s="43"/>
    </row>
    <row r="49" spans="5:5">
      <c r="E49" s="44" t="s">
        <v>38</v>
      </c>
    </row>
  </sheetData>
  <mergeCells count="25">
    <mergeCell ref="A38:B38"/>
    <mergeCell ref="A39:B39"/>
    <mergeCell ref="A43:F43"/>
    <mergeCell ref="C17:F27"/>
    <mergeCell ref="A2:F9"/>
    <mergeCell ref="A21:B21"/>
    <mergeCell ref="A22:B22"/>
    <mergeCell ref="B28:C28"/>
    <mergeCell ref="B30:C30"/>
    <mergeCell ref="B35:D35"/>
    <mergeCell ref="A16:B16"/>
    <mergeCell ref="C16:F16"/>
    <mergeCell ref="A17:B17"/>
    <mergeCell ref="A19:B19"/>
    <mergeCell ref="A20:B20"/>
    <mergeCell ref="A13:B13"/>
    <mergeCell ref="C13:F13"/>
    <mergeCell ref="A14:B14"/>
    <mergeCell ref="C14:F14"/>
    <mergeCell ref="C15:F15"/>
    <mergeCell ref="A10:B10"/>
    <mergeCell ref="A11:B11"/>
    <mergeCell ref="C11:F11"/>
    <mergeCell ref="A12:B12"/>
    <mergeCell ref="C12:F12"/>
  </mergeCells>
  <phoneticPr fontId="25" type="noConversion"/>
  <pageMargins left="0.70866141732283505" right="0.70866141732283505" top="0.74803149606299202" bottom="0.74803149606299202" header="0.31496062992126" footer="0.31496062992126"/>
  <pageSetup paperSize="9" scale="87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8"/>
  <dimension ref="A2:H44"/>
  <sheetViews>
    <sheetView topLeftCell="A13" workbookViewId="0">
      <selection activeCell="C12" sqref="C12:G23"/>
    </sheetView>
  </sheetViews>
  <sheetFormatPr defaultColWidth="9" defaultRowHeight="12"/>
  <cols>
    <col min="1" max="1" width="23.09765625" style="1" customWidth="1"/>
    <col min="2" max="2" width="17.3984375" style="1" customWidth="1"/>
    <col min="3" max="3" width="5.69921875" style="1" customWidth="1"/>
    <col min="4" max="4" width="7.796875" style="1" customWidth="1"/>
    <col min="5" max="5" width="9.8984375" style="1" customWidth="1"/>
    <col min="6" max="6" width="8.8984375" style="1" customWidth="1"/>
    <col min="7" max="7" width="11.59765625" style="1" customWidth="1"/>
    <col min="8" max="8" width="11.8984375" style="1" customWidth="1"/>
    <col min="9" max="16384" width="9" style="1"/>
  </cols>
  <sheetData>
    <row r="2" spans="1:8" ht="14.25" customHeight="1">
      <c r="A2" s="157" t="s">
        <v>39</v>
      </c>
      <c r="B2" s="157"/>
      <c r="C2" s="157"/>
      <c r="D2" s="157"/>
      <c r="E2" s="157"/>
      <c r="F2" s="157"/>
      <c r="G2" s="157"/>
      <c r="H2" s="2"/>
    </row>
    <row r="3" spans="1:8" ht="14.25" customHeight="1">
      <c r="A3" s="157"/>
      <c r="B3" s="157"/>
      <c r="C3" s="157"/>
      <c r="D3" s="157"/>
      <c r="E3" s="157"/>
      <c r="F3" s="157"/>
      <c r="G3" s="157"/>
      <c r="H3" s="2"/>
    </row>
    <row r="4" spans="1:8" ht="14.25" customHeight="1">
      <c r="A4" s="157"/>
      <c r="B4" s="157"/>
      <c r="C4" s="157"/>
      <c r="D4" s="157"/>
      <c r="E4" s="157"/>
      <c r="F4" s="157"/>
      <c r="G4" s="157"/>
      <c r="H4" s="2"/>
    </row>
    <row r="5" spans="1:8" ht="12" customHeight="1">
      <c r="A5" s="157"/>
      <c r="B5" s="157"/>
      <c r="C5" s="157"/>
      <c r="D5" s="157"/>
      <c r="E5" s="157"/>
      <c r="F5" s="157"/>
      <c r="G5" s="157"/>
      <c r="H5" s="2"/>
    </row>
    <row r="6" spans="1:8" ht="17.399999999999999" customHeight="1">
      <c r="A6" s="172"/>
      <c r="B6" s="172"/>
      <c r="C6" s="172"/>
      <c r="D6" s="172"/>
      <c r="E6" s="172"/>
      <c r="F6" s="172"/>
      <c r="G6" s="172"/>
    </row>
    <row r="7" spans="1:8" customFormat="1" ht="17.399999999999999" customHeight="1">
      <c r="A7" s="177" t="s">
        <v>1</v>
      </c>
      <c r="B7" s="177"/>
      <c r="C7" s="188" t="s">
        <v>2</v>
      </c>
      <c r="D7" s="189"/>
      <c r="E7" s="189"/>
      <c r="F7" s="189"/>
      <c r="G7" s="189"/>
    </row>
    <row r="8" spans="1:8" customFormat="1" ht="17.399999999999999" customHeight="1">
      <c r="A8" s="178" t="s">
        <v>3</v>
      </c>
      <c r="B8" s="178"/>
      <c r="C8" s="190" t="s">
        <v>261</v>
      </c>
      <c r="D8" s="180"/>
      <c r="E8" s="180"/>
      <c r="F8" s="180"/>
      <c r="G8" s="180"/>
    </row>
    <row r="9" spans="1:8" customFormat="1" ht="17.399999999999999" customHeight="1">
      <c r="A9" s="178" t="s">
        <v>5</v>
      </c>
      <c r="B9" s="178"/>
      <c r="C9" s="190"/>
      <c r="D9" s="180"/>
      <c r="E9" s="180"/>
      <c r="F9" s="180"/>
      <c r="G9" s="180"/>
    </row>
    <row r="10" spans="1:8" customFormat="1" ht="17.399999999999999" customHeight="1">
      <c r="A10" s="179" t="s">
        <v>7</v>
      </c>
      <c r="B10" s="179"/>
      <c r="C10" s="191"/>
      <c r="D10" s="192"/>
      <c r="E10" s="192"/>
      <c r="F10" s="192"/>
      <c r="G10" s="192"/>
    </row>
    <row r="11" spans="1:8" customFormat="1" ht="17.399999999999999" customHeight="1">
      <c r="A11" s="45" t="s">
        <v>10</v>
      </c>
      <c r="B11" s="45"/>
      <c r="C11" s="193"/>
      <c r="D11" s="194"/>
      <c r="E11" s="194"/>
      <c r="F11" s="194"/>
      <c r="G11" s="194"/>
    </row>
    <row r="12" spans="1:8" customFormat="1" ht="17.399999999999999" customHeight="1">
      <c r="A12" s="180" t="s">
        <v>120</v>
      </c>
      <c r="B12" s="180"/>
      <c r="C12" s="161"/>
      <c r="D12" s="153"/>
      <c r="E12" s="153"/>
      <c r="F12" s="153"/>
      <c r="G12" s="153"/>
    </row>
    <row r="13" spans="1:8" customFormat="1" ht="17.399999999999999" customHeight="1">
      <c r="A13" s="180" t="s">
        <v>127</v>
      </c>
      <c r="B13" s="180"/>
      <c r="C13" s="199"/>
      <c r="D13" s="153"/>
      <c r="E13" s="153"/>
      <c r="F13" s="153"/>
      <c r="G13" s="153"/>
    </row>
    <row r="14" spans="1:8" customFormat="1" ht="17.399999999999999" customHeight="1">
      <c r="A14" s="180" t="s">
        <v>124</v>
      </c>
      <c r="B14" s="181"/>
      <c r="C14" s="199"/>
      <c r="D14" s="153"/>
      <c r="E14" s="153"/>
      <c r="F14" s="153"/>
      <c r="G14" s="153"/>
    </row>
    <row r="15" spans="1:8" customFormat="1" ht="17.399999999999999" customHeight="1">
      <c r="A15" s="180"/>
      <c r="B15" s="180"/>
      <c r="C15" s="199"/>
      <c r="D15" s="153"/>
      <c r="E15" s="153"/>
      <c r="F15" s="153"/>
      <c r="G15" s="153"/>
    </row>
    <row r="16" spans="1:8" customFormat="1" ht="17.399999999999999" customHeight="1">
      <c r="A16" s="177" t="s">
        <v>16</v>
      </c>
      <c r="B16" s="177"/>
      <c r="C16" s="161"/>
      <c r="D16" s="153"/>
      <c r="E16" s="153"/>
      <c r="F16" s="153"/>
      <c r="G16" s="153"/>
    </row>
    <row r="17" spans="1:8" customFormat="1" ht="17.399999999999999" customHeight="1">
      <c r="A17" s="180" t="s">
        <v>120</v>
      </c>
      <c r="B17" s="180"/>
      <c r="C17" s="161"/>
      <c r="D17" s="153"/>
      <c r="E17" s="153"/>
      <c r="F17" s="153"/>
      <c r="G17" s="153"/>
    </row>
    <row r="18" spans="1:8" customFormat="1" ht="17.399999999999999" customHeight="1">
      <c r="A18" s="180" t="s">
        <v>127</v>
      </c>
      <c r="B18" s="180"/>
      <c r="C18" s="199"/>
      <c r="D18" s="153"/>
      <c r="E18" s="153"/>
      <c r="F18" s="153"/>
      <c r="G18" s="153"/>
    </row>
    <row r="19" spans="1:8" customFormat="1" ht="17.399999999999999" customHeight="1">
      <c r="A19" s="180" t="s">
        <v>124</v>
      </c>
      <c r="B19" s="181"/>
      <c r="C19" s="199"/>
      <c r="D19" s="153"/>
      <c r="E19" s="153"/>
      <c r="F19" s="153"/>
      <c r="G19" s="153"/>
    </row>
    <row r="20" spans="1:8" customFormat="1" ht="17.399999999999999" customHeight="1">
      <c r="A20" s="9" t="s">
        <v>18</v>
      </c>
      <c r="B20" s="10" t="s">
        <v>19</v>
      </c>
      <c r="C20" s="199"/>
      <c r="D20" s="153"/>
      <c r="E20" s="153"/>
      <c r="F20" s="153"/>
      <c r="G20" s="153"/>
    </row>
    <row r="21" spans="1:8" customFormat="1" ht="17.399999999999999" customHeight="1">
      <c r="A21" s="11" t="s">
        <v>157</v>
      </c>
      <c r="B21" s="12" t="s">
        <v>91</v>
      </c>
      <c r="C21" s="199"/>
      <c r="D21" s="153"/>
      <c r="E21" s="153"/>
      <c r="F21" s="153"/>
      <c r="G21" s="153"/>
    </row>
    <row r="22" spans="1:8" customFormat="1" ht="17.399999999999999" customHeight="1">
      <c r="A22" s="9" t="s">
        <v>22</v>
      </c>
      <c r="B22" s="10" t="s">
        <v>23</v>
      </c>
      <c r="C22" s="199"/>
      <c r="D22" s="153"/>
      <c r="E22" s="153"/>
      <c r="F22" s="153"/>
      <c r="G22" s="153"/>
    </row>
    <row r="23" spans="1:8" customFormat="1" ht="15" customHeight="1">
      <c r="A23" s="11" t="s">
        <v>264</v>
      </c>
      <c r="B23" s="12" t="s">
        <v>265</v>
      </c>
      <c r="C23" s="200"/>
      <c r="D23" s="201"/>
      <c r="E23" s="201"/>
      <c r="F23" s="201"/>
      <c r="G23" s="201"/>
    </row>
    <row r="24" spans="1:8" customFormat="1" ht="22.95" customHeight="1">
      <c r="A24" s="46" t="s">
        <v>26</v>
      </c>
      <c r="B24" s="195" t="s">
        <v>27</v>
      </c>
      <c r="C24" s="196"/>
      <c r="D24" s="47" t="s">
        <v>106</v>
      </c>
      <c r="E24" s="48" t="s">
        <v>107</v>
      </c>
      <c r="F24" s="49" t="s">
        <v>108</v>
      </c>
      <c r="G24" s="50" t="s">
        <v>109</v>
      </c>
    </row>
    <row r="25" spans="1:8" customFormat="1" ht="17.399999999999999" customHeight="1">
      <c r="A25" s="4"/>
      <c r="B25" s="19"/>
      <c r="C25" s="19"/>
      <c r="D25" s="20"/>
      <c r="E25" s="19"/>
      <c r="F25" s="19"/>
      <c r="G25" s="20"/>
    </row>
    <row r="26" spans="1:8" ht="11.25" customHeight="1">
      <c r="A26" s="21"/>
      <c r="B26" s="51" t="s">
        <v>268</v>
      </c>
      <c r="C26" s="22"/>
      <c r="D26" s="23"/>
      <c r="E26" s="21"/>
      <c r="F26" s="21"/>
      <c r="G26" s="21"/>
      <c r="H26" s="21"/>
    </row>
    <row r="27" spans="1:8" ht="12" customHeight="1">
      <c r="A27" s="4"/>
      <c r="B27" s="22" t="s">
        <v>269</v>
      </c>
      <c r="C27" s="22"/>
      <c r="D27" s="22"/>
      <c r="E27" s="24"/>
      <c r="F27" s="24"/>
      <c r="G27" s="25"/>
      <c r="H27" s="26"/>
    </row>
    <row r="28" spans="1:8" ht="12" customHeight="1">
      <c r="A28" s="27"/>
      <c r="B28" s="22" t="s">
        <v>270</v>
      </c>
      <c r="C28" s="21"/>
      <c r="D28" s="21"/>
      <c r="E28" s="24"/>
      <c r="F28" s="24"/>
      <c r="G28" s="25"/>
      <c r="H28" s="26"/>
    </row>
    <row r="29" spans="1:8" ht="11.25" customHeight="1">
      <c r="A29" s="21"/>
      <c r="B29" s="21"/>
      <c r="C29" s="21"/>
      <c r="D29" s="28"/>
      <c r="E29" s="21"/>
      <c r="F29" s="21"/>
      <c r="G29" s="21"/>
      <c r="H29" s="21"/>
    </row>
    <row r="30" spans="1:8" ht="11.25" customHeight="1">
      <c r="A30" s="21"/>
      <c r="B30" s="21"/>
      <c r="C30" s="210" t="s">
        <v>273</v>
      </c>
      <c r="D30" s="211"/>
      <c r="E30" s="52" t="s">
        <v>274</v>
      </c>
      <c r="F30" s="52" t="str">
        <f>E30</f>
        <v>21,980KGS</v>
      </c>
      <c r="G30" s="21"/>
      <c r="H30" s="21"/>
    </row>
    <row r="31" spans="1:8" ht="11.25" customHeight="1">
      <c r="A31" s="21"/>
      <c r="B31" s="7"/>
      <c r="C31" s="210" t="s">
        <v>275</v>
      </c>
      <c r="D31" s="211"/>
      <c r="E31" s="52" t="s">
        <v>276</v>
      </c>
      <c r="F31" s="52" t="str">
        <f>E31</f>
        <v>22,000KGS</v>
      </c>
      <c r="H31" s="21"/>
    </row>
    <row r="32" spans="1:8" ht="11.25" customHeight="1">
      <c r="A32" s="21"/>
      <c r="B32" s="7"/>
      <c r="C32" s="53"/>
      <c r="D32" s="53"/>
      <c r="E32" s="24"/>
      <c r="F32" s="24"/>
      <c r="H32" s="21"/>
    </row>
    <row r="33" spans="1:8">
      <c r="A33" s="156"/>
      <c r="B33" s="156"/>
      <c r="C33" s="29" t="s">
        <v>145</v>
      </c>
      <c r="D33" s="29"/>
      <c r="E33" s="30"/>
      <c r="F33" s="30"/>
      <c r="G33" s="30"/>
      <c r="H33" s="21"/>
    </row>
    <row r="34" spans="1:8" ht="16.2" customHeight="1">
      <c r="A34" s="21"/>
      <c r="B34" s="54" t="s">
        <v>269</v>
      </c>
      <c r="C34" s="214" t="s">
        <v>277</v>
      </c>
      <c r="D34" s="214"/>
      <c r="E34" s="55" t="s">
        <v>278</v>
      </c>
      <c r="F34" s="55" t="s">
        <v>278</v>
      </c>
      <c r="G34" s="31" t="s">
        <v>279</v>
      </c>
      <c r="H34" s="21"/>
    </row>
    <row r="35" spans="1:8">
      <c r="A35" s="21"/>
      <c r="C35" s="56"/>
      <c r="D35" s="56"/>
      <c r="E35" s="28"/>
      <c r="F35" s="28"/>
      <c r="G35" s="28"/>
      <c r="H35" s="21"/>
    </row>
    <row r="36" spans="1:8">
      <c r="A36" s="21"/>
      <c r="B36" s="57"/>
      <c r="C36" s="56"/>
      <c r="D36" s="56"/>
      <c r="E36" s="28"/>
      <c r="F36" s="28"/>
      <c r="G36" s="28"/>
      <c r="H36" s="21"/>
    </row>
    <row r="37" spans="1:8">
      <c r="A37" s="21" t="s">
        <v>117</v>
      </c>
      <c r="B37" s="8"/>
      <c r="C37" s="8"/>
      <c r="D37" s="21"/>
      <c r="E37" s="21"/>
      <c r="F37" s="21"/>
      <c r="G37" s="21"/>
      <c r="H37" s="21"/>
    </row>
    <row r="38" spans="1:8" ht="36" customHeight="1">
      <c r="A38" s="21"/>
      <c r="B38" s="146"/>
      <c r="C38" s="146"/>
      <c r="D38" s="146"/>
      <c r="E38" s="146"/>
      <c r="F38" s="146"/>
      <c r="G38" s="146"/>
      <c r="H38" s="21"/>
    </row>
    <row r="39" spans="1:8">
      <c r="A39" s="8"/>
      <c r="B39" s="8"/>
      <c r="C39" s="8"/>
      <c r="D39" s="21"/>
      <c r="E39" s="8"/>
      <c r="F39" s="8"/>
      <c r="G39" s="8"/>
      <c r="H39" s="8"/>
    </row>
    <row r="40" spans="1:8">
      <c r="A40" s="198"/>
      <c r="B40" s="198"/>
      <c r="C40" s="198"/>
      <c r="D40" s="198"/>
      <c r="E40" s="198"/>
      <c r="F40" s="198"/>
      <c r="G40" s="198"/>
      <c r="H40" s="198"/>
    </row>
    <row r="44" spans="1:8">
      <c r="E44" s="32" t="s">
        <v>118</v>
      </c>
      <c r="F44" s="32"/>
    </row>
  </sheetData>
  <mergeCells count="26">
    <mergeCell ref="C34:D34"/>
    <mergeCell ref="B38:G38"/>
    <mergeCell ref="A40:H40"/>
    <mergeCell ref="A2:G6"/>
    <mergeCell ref="C12:G23"/>
    <mergeCell ref="A19:B19"/>
    <mergeCell ref="B24:C24"/>
    <mergeCell ref="C30:D30"/>
    <mergeCell ref="C31:D31"/>
    <mergeCell ref="A33:B33"/>
    <mergeCell ref="A14:B14"/>
    <mergeCell ref="A15:B15"/>
    <mergeCell ref="A16:B16"/>
    <mergeCell ref="A17:B17"/>
    <mergeCell ref="A18:B18"/>
    <mergeCell ref="A10:B10"/>
    <mergeCell ref="C10:G10"/>
    <mergeCell ref="C11:G11"/>
    <mergeCell ref="A12:B12"/>
    <mergeCell ref="A13:B13"/>
    <mergeCell ref="A7:B7"/>
    <mergeCell ref="C7:G7"/>
    <mergeCell ref="A8:B8"/>
    <mergeCell ref="C8:G8"/>
    <mergeCell ref="A9:B9"/>
    <mergeCell ref="C9:G9"/>
  </mergeCells>
  <phoneticPr fontId="25" type="noConversion"/>
  <printOptions horizontalCentered="1"/>
  <pageMargins left="0.47244094488188998" right="0.47244094488188998" top="0.74803149606299202" bottom="0.74803149606299202" header="0.31496062992126" footer="0.31496062992126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>
    <pageSetUpPr fitToPage="1"/>
  </sheetPr>
  <dimension ref="A2:G51"/>
  <sheetViews>
    <sheetView topLeftCell="A10" workbookViewId="0">
      <selection activeCell="C16" sqref="C16:F16"/>
    </sheetView>
  </sheetViews>
  <sheetFormatPr defaultColWidth="9" defaultRowHeight="15.6"/>
  <cols>
    <col min="1" max="1" width="26.5" customWidth="1"/>
    <col min="2" max="2" width="19.3984375" customWidth="1"/>
    <col min="3" max="3" width="9" customWidth="1"/>
    <col min="4" max="4" width="11.59765625" customWidth="1"/>
    <col min="5" max="5" width="14.09765625" customWidth="1"/>
    <col min="6" max="6" width="10.09765625" customWidth="1"/>
    <col min="7" max="7" width="12.69921875" customWidth="1"/>
  </cols>
  <sheetData>
    <row r="2" spans="1:7">
      <c r="A2" s="157" t="s">
        <v>0</v>
      </c>
      <c r="B2" s="157"/>
      <c r="C2" s="157"/>
      <c r="D2" s="157"/>
      <c r="E2" s="157"/>
      <c r="F2" s="157"/>
      <c r="G2" s="8"/>
    </row>
    <row r="3" spans="1:7">
      <c r="A3" s="157"/>
      <c r="B3" s="157"/>
      <c r="C3" s="157"/>
      <c r="D3" s="157"/>
      <c r="E3" s="157"/>
      <c r="F3" s="157"/>
      <c r="G3" s="8"/>
    </row>
    <row r="4" spans="1:7">
      <c r="A4" s="157"/>
      <c r="B4" s="157"/>
      <c r="C4" s="157"/>
      <c r="D4" s="157"/>
      <c r="E4" s="157"/>
      <c r="F4" s="157"/>
      <c r="G4" s="8"/>
    </row>
    <row r="5" spans="1:7">
      <c r="A5" s="157"/>
      <c r="B5" s="157"/>
      <c r="C5" s="157"/>
      <c r="D5" s="157"/>
      <c r="E5" s="157"/>
      <c r="F5" s="157"/>
      <c r="G5" s="1"/>
    </row>
    <row r="6" spans="1:7" ht="15.75" customHeight="1">
      <c r="A6" s="157"/>
      <c r="B6" s="157"/>
      <c r="C6" s="157"/>
      <c r="D6" s="157"/>
      <c r="E6" s="157"/>
      <c r="F6" s="157"/>
    </row>
    <row r="7" spans="1:7" ht="2.25" customHeight="1">
      <c r="A7" s="157"/>
      <c r="B7" s="157"/>
      <c r="C7" s="157"/>
      <c r="D7" s="157"/>
      <c r="E7" s="157"/>
      <c r="F7" s="157"/>
    </row>
    <row r="8" spans="1:7" ht="13.5" hidden="1" customHeight="1">
      <c r="A8" s="157"/>
      <c r="B8" s="157"/>
      <c r="C8" s="157"/>
      <c r="D8" s="157"/>
      <c r="E8" s="157"/>
      <c r="F8" s="157"/>
    </row>
    <row r="9" spans="1:7" ht="17.25" hidden="1" customHeight="1">
      <c r="A9" s="157"/>
      <c r="B9" s="157"/>
      <c r="C9" s="157"/>
      <c r="D9" s="157"/>
      <c r="E9" s="157"/>
      <c r="F9" s="157"/>
    </row>
    <row r="10" spans="1:7" ht="13.5" customHeight="1">
      <c r="A10" s="146"/>
      <c r="B10" s="147"/>
      <c r="C10" s="4"/>
    </row>
    <row r="11" spans="1:7" ht="15" customHeight="1">
      <c r="A11" s="131" t="s">
        <v>1</v>
      </c>
      <c r="B11" s="131"/>
      <c r="C11" s="204" t="s">
        <v>2</v>
      </c>
      <c r="D11" s="205"/>
      <c r="E11" s="205"/>
      <c r="F11" s="205"/>
    </row>
    <row r="12" spans="1:7" ht="12" customHeight="1">
      <c r="A12" s="134" t="s">
        <v>3</v>
      </c>
      <c r="B12" s="134"/>
      <c r="C12" s="186" t="s">
        <v>280</v>
      </c>
      <c r="D12" s="187"/>
      <c r="E12" s="187"/>
      <c r="F12" s="187"/>
    </row>
    <row r="13" spans="1:7" ht="14.25" customHeight="1">
      <c r="A13" s="134" t="s">
        <v>5</v>
      </c>
      <c r="B13" s="134"/>
      <c r="C13" s="137" t="s">
        <v>86</v>
      </c>
      <c r="D13" s="138"/>
      <c r="E13" s="138"/>
      <c r="F13" s="138"/>
    </row>
    <row r="14" spans="1:7" ht="17.25" customHeight="1">
      <c r="A14" s="148" t="s">
        <v>7</v>
      </c>
      <c r="B14" s="148"/>
      <c r="C14" s="186"/>
      <c r="D14" s="187"/>
      <c r="E14" s="187"/>
      <c r="F14" s="187"/>
    </row>
    <row r="15" spans="1:7" ht="15" customHeight="1">
      <c r="A15" s="6" t="s">
        <v>10</v>
      </c>
      <c r="B15" s="6"/>
      <c r="C15" s="207" t="s">
        <v>9</v>
      </c>
      <c r="D15" s="208"/>
      <c r="E15" s="208"/>
      <c r="F15" s="208"/>
    </row>
    <row r="16" spans="1:7" ht="14.25" customHeight="1">
      <c r="A16" s="146" t="s">
        <v>120</v>
      </c>
      <c r="B16" s="146"/>
      <c r="C16" s="186" t="s">
        <v>281</v>
      </c>
      <c r="D16" s="187"/>
      <c r="E16" s="187"/>
      <c r="F16" s="187"/>
    </row>
    <row r="17" spans="1:6" ht="14.25" customHeight="1">
      <c r="A17" s="146" t="s">
        <v>122</v>
      </c>
      <c r="B17" s="146"/>
      <c r="C17" s="184" t="s">
        <v>89</v>
      </c>
      <c r="D17" s="185"/>
      <c r="E17" s="185"/>
      <c r="F17" s="185"/>
    </row>
    <row r="18" spans="1:6" ht="14.25" customHeight="1">
      <c r="A18" s="8" t="s">
        <v>123</v>
      </c>
      <c r="B18" s="8"/>
      <c r="C18" s="184"/>
      <c r="D18" s="185"/>
      <c r="E18" s="185"/>
      <c r="F18" s="185"/>
    </row>
    <row r="19" spans="1:6" ht="6.75" customHeight="1">
      <c r="A19" s="146"/>
      <c r="B19" s="146"/>
      <c r="C19" s="184"/>
      <c r="D19" s="185"/>
      <c r="E19" s="185"/>
      <c r="F19" s="185"/>
    </row>
    <row r="20" spans="1:6" ht="14.25" customHeight="1">
      <c r="A20" s="131" t="s">
        <v>16</v>
      </c>
      <c r="B20" s="131"/>
      <c r="C20" s="184"/>
      <c r="D20" s="185"/>
      <c r="E20" s="185"/>
      <c r="F20" s="185"/>
    </row>
    <row r="21" spans="1:6" ht="14.25" customHeight="1">
      <c r="A21" s="146" t="s">
        <v>120</v>
      </c>
      <c r="B21" s="146"/>
      <c r="C21" s="184"/>
      <c r="D21" s="185"/>
      <c r="E21" s="185"/>
      <c r="F21" s="185"/>
    </row>
    <row r="22" spans="1:6" ht="14.25" customHeight="1">
      <c r="A22" s="146" t="s">
        <v>122</v>
      </c>
      <c r="B22" s="146"/>
      <c r="C22" s="184"/>
      <c r="D22" s="185"/>
      <c r="E22" s="185"/>
      <c r="F22" s="185"/>
    </row>
    <row r="23" spans="1:6" ht="14.25" customHeight="1">
      <c r="A23" s="8" t="s">
        <v>123</v>
      </c>
      <c r="B23" s="8"/>
      <c r="C23" s="184"/>
      <c r="D23" s="185"/>
      <c r="E23" s="185"/>
      <c r="F23" s="185"/>
    </row>
    <row r="24" spans="1:6">
      <c r="A24" s="9" t="s">
        <v>18</v>
      </c>
      <c r="B24" s="10" t="s">
        <v>19</v>
      </c>
      <c r="C24" s="184"/>
      <c r="D24" s="185"/>
      <c r="E24" s="185"/>
      <c r="F24" s="185"/>
    </row>
    <row r="25" spans="1:6" ht="27.75" customHeight="1">
      <c r="A25" s="11" t="s">
        <v>282</v>
      </c>
      <c r="B25" s="12" t="s">
        <v>91</v>
      </c>
      <c r="C25" s="184"/>
      <c r="D25" s="185"/>
      <c r="E25" s="185"/>
      <c r="F25" s="185"/>
    </row>
    <row r="26" spans="1:6" ht="16.5" customHeight="1">
      <c r="A26" s="9" t="s">
        <v>22</v>
      </c>
      <c r="B26" s="10" t="s">
        <v>23</v>
      </c>
      <c r="C26" s="184"/>
      <c r="D26" s="185"/>
      <c r="E26" s="185"/>
      <c r="F26" s="185"/>
    </row>
    <row r="27" spans="1:6">
      <c r="A27" s="11" t="s">
        <v>283</v>
      </c>
      <c r="B27" s="12" t="s">
        <v>284</v>
      </c>
      <c r="C27" s="186"/>
      <c r="D27" s="187"/>
      <c r="E27" s="187"/>
      <c r="F27" s="187"/>
    </row>
    <row r="28" spans="1:6" ht="14.25" customHeight="1">
      <c r="A28" s="13" t="s">
        <v>26</v>
      </c>
      <c r="B28" s="182" t="s">
        <v>27</v>
      </c>
      <c r="C28" s="183"/>
      <c r="D28" s="34" t="s">
        <v>28</v>
      </c>
      <c r="E28" s="14" t="s">
        <v>29</v>
      </c>
      <c r="F28" s="17" t="s">
        <v>30</v>
      </c>
    </row>
    <row r="29" spans="1:6" ht="12" customHeight="1">
      <c r="A29" s="6"/>
      <c r="B29" s="28"/>
      <c r="C29" s="28"/>
      <c r="D29" s="28" t="s">
        <v>31</v>
      </c>
      <c r="E29" s="28" t="s">
        <v>32</v>
      </c>
      <c r="F29" s="35" t="s">
        <v>33</v>
      </c>
    </row>
    <row r="30" spans="1:6" ht="6" customHeight="1">
      <c r="A30" s="152"/>
      <c r="B30" s="152"/>
      <c r="C30" s="152"/>
      <c r="D30" s="152"/>
      <c r="E30" s="152"/>
      <c r="F30" s="152"/>
    </row>
    <row r="31" spans="1:6" ht="15.75" customHeight="1">
      <c r="A31" s="6"/>
      <c r="B31" s="6"/>
      <c r="C31" s="6"/>
      <c r="D31" s="6" t="s">
        <v>93</v>
      </c>
      <c r="E31" s="153" t="s">
        <v>285</v>
      </c>
      <c r="F31" s="153"/>
    </row>
    <row r="32" spans="1:6" ht="11.25" customHeight="1">
      <c r="A32" s="27"/>
      <c r="B32" s="153"/>
      <c r="C32" s="153"/>
      <c r="D32" s="6"/>
    </row>
    <row r="33" spans="1:7" ht="15" customHeight="1">
      <c r="A33" s="36" t="s">
        <v>95</v>
      </c>
      <c r="B33" s="22" t="s">
        <v>286</v>
      </c>
      <c r="C33" s="22"/>
      <c r="D33" s="37">
        <v>7.2</v>
      </c>
      <c r="E33" s="38">
        <v>2100</v>
      </c>
      <c r="F33" s="38">
        <f>D33*E33</f>
        <v>15120</v>
      </c>
      <c r="G33" s="39"/>
    </row>
    <row r="34" spans="1:7" ht="15" customHeight="1">
      <c r="A34" s="27"/>
      <c r="B34" s="153" t="s">
        <v>287</v>
      </c>
      <c r="C34" s="153"/>
      <c r="D34" s="153"/>
      <c r="E34" s="40"/>
      <c r="F34" s="40"/>
    </row>
    <row r="35" spans="1:7" ht="15" customHeight="1">
      <c r="A35" s="27"/>
      <c r="B35" s="153" t="s">
        <v>288</v>
      </c>
      <c r="C35" s="153"/>
      <c r="D35" s="7"/>
      <c r="E35" s="40"/>
      <c r="F35" s="40"/>
    </row>
    <row r="36" spans="1:7" ht="15" customHeight="1">
      <c r="A36" s="27"/>
      <c r="B36" s="7"/>
      <c r="C36" s="7"/>
      <c r="D36" s="7"/>
      <c r="E36" s="40"/>
      <c r="F36" s="40"/>
    </row>
    <row r="37" spans="1:7" ht="15" customHeight="1">
      <c r="A37" s="27"/>
      <c r="B37" s="153" t="s">
        <v>99</v>
      </c>
      <c r="C37" s="153"/>
      <c r="D37" s="153"/>
      <c r="E37" s="153"/>
      <c r="F37" s="153"/>
    </row>
    <row r="38" spans="1:7" ht="15" customHeight="1">
      <c r="A38" s="27"/>
      <c r="B38" s="27"/>
      <c r="C38" s="27"/>
      <c r="D38" s="26"/>
      <c r="E38" s="41"/>
      <c r="F38" s="26"/>
    </row>
    <row r="39" spans="1:7" ht="15" customHeight="1">
      <c r="A39" s="27"/>
      <c r="B39" s="27"/>
      <c r="C39" s="27"/>
      <c r="D39" s="26"/>
      <c r="E39" s="41"/>
      <c r="F39" s="26"/>
    </row>
    <row r="40" spans="1:7" ht="15" customHeight="1">
      <c r="A40" s="153"/>
      <c r="B40" s="153"/>
      <c r="C40" s="7"/>
      <c r="D40" s="28"/>
      <c r="E40" s="21"/>
      <c r="F40" s="21"/>
    </row>
    <row r="41" spans="1:7" ht="15" customHeight="1">
      <c r="A41" s="156"/>
      <c r="B41" s="156"/>
      <c r="C41" s="29"/>
      <c r="D41" s="29"/>
      <c r="E41" s="30"/>
      <c r="F41" s="30"/>
    </row>
    <row r="42" spans="1:7" ht="15" customHeight="1">
      <c r="A42" s="21"/>
      <c r="B42" s="28" t="s">
        <v>37</v>
      </c>
      <c r="C42" s="28"/>
      <c r="D42" s="42" t="s">
        <v>289</v>
      </c>
      <c r="E42" s="28"/>
      <c r="F42" s="38" t="s">
        <v>290</v>
      </c>
    </row>
    <row r="43" spans="1:7" ht="15" customHeight="1">
      <c r="A43" s="21"/>
      <c r="B43" s="28"/>
      <c r="C43" s="28"/>
      <c r="D43" s="28"/>
      <c r="E43" s="28"/>
      <c r="F43" s="28"/>
    </row>
    <row r="44" spans="1:7" ht="21.75" customHeight="1">
      <c r="A44" s="21"/>
      <c r="B44" s="28"/>
      <c r="C44" s="28"/>
      <c r="D44" s="28"/>
      <c r="E44" s="28"/>
      <c r="F44" s="21"/>
    </row>
    <row r="45" spans="1:7">
      <c r="A45" s="152"/>
      <c r="B45" s="152"/>
      <c r="C45" s="152"/>
      <c r="D45" s="152"/>
      <c r="E45" s="152"/>
      <c r="F45" s="152"/>
    </row>
    <row r="46" spans="1:7">
      <c r="A46" s="43"/>
    </row>
    <row r="51" spans="5:5">
      <c r="E51" s="44" t="s">
        <v>38</v>
      </c>
    </row>
  </sheetData>
  <mergeCells count="29">
    <mergeCell ref="A41:B41"/>
    <mergeCell ref="A45:F45"/>
    <mergeCell ref="A2:F9"/>
    <mergeCell ref="C17:F27"/>
    <mergeCell ref="B32:C32"/>
    <mergeCell ref="B34:D34"/>
    <mergeCell ref="B35:C35"/>
    <mergeCell ref="B37:F37"/>
    <mergeCell ref="A40:B40"/>
    <mergeCell ref="A21:B21"/>
    <mergeCell ref="A22:B22"/>
    <mergeCell ref="B28:C28"/>
    <mergeCell ref="A30:F30"/>
    <mergeCell ref="E31:F31"/>
    <mergeCell ref="A16:B16"/>
    <mergeCell ref="C16:F16"/>
    <mergeCell ref="A17:B17"/>
    <mergeCell ref="A19:B19"/>
    <mergeCell ref="A20:B20"/>
    <mergeCell ref="A13:B13"/>
    <mergeCell ref="C13:F13"/>
    <mergeCell ref="A14:B14"/>
    <mergeCell ref="C14:F14"/>
    <mergeCell ref="C15:F15"/>
    <mergeCell ref="A10:B10"/>
    <mergeCell ref="A11:B11"/>
    <mergeCell ref="C11:F11"/>
    <mergeCell ref="A12:B12"/>
    <mergeCell ref="C12:F12"/>
  </mergeCells>
  <phoneticPr fontId="25" type="noConversion"/>
  <pageMargins left="0.70866141732283505" right="0.70866141732283505" top="0.74803149606299202" bottom="0.74803149606299202" header="0.31496062992126" footer="0.31496062992126"/>
  <pageSetup paperSize="9" scale="90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0"/>
  <dimension ref="A2:H44"/>
  <sheetViews>
    <sheetView workbookViewId="0">
      <selection activeCell="C12" sqref="C12:G23"/>
    </sheetView>
  </sheetViews>
  <sheetFormatPr defaultColWidth="9" defaultRowHeight="12"/>
  <cols>
    <col min="1" max="1" width="22.19921875" style="1" customWidth="1"/>
    <col min="2" max="2" width="19.796875" style="1" customWidth="1"/>
    <col min="3" max="3" width="5.69921875" style="1" customWidth="1"/>
    <col min="4" max="4" width="8.3984375" style="1" customWidth="1"/>
    <col min="5" max="5" width="8.59765625" style="1" customWidth="1"/>
    <col min="6" max="6" width="7.8984375" style="1" customWidth="1"/>
    <col min="7" max="7" width="11.3984375" style="1" customWidth="1"/>
    <col min="8" max="8" width="11.8984375" style="1" customWidth="1"/>
    <col min="9" max="16384" width="9" style="1"/>
  </cols>
  <sheetData>
    <row r="2" spans="1:8" ht="14.25" customHeight="1">
      <c r="A2" s="157" t="s">
        <v>39</v>
      </c>
      <c r="B2" s="157"/>
      <c r="C2" s="157"/>
      <c r="D2" s="157"/>
      <c r="E2" s="157"/>
      <c r="F2" s="157"/>
      <c r="G2" s="157"/>
      <c r="H2" s="2"/>
    </row>
    <row r="3" spans="1:8" ht="14.25" customHeight="1">
      <c r="A3" s="157"/>
      <c r="B3" s="157"/>
      <c r="C3" s="157"/>
      <c r="D3" s="157"/>
      <c r="E3" s="157"/>
      <c r="F3" s="157"/>
      <c r="G3" s="157"/>
      <c r="H3" s="2"/>
    </row>
    <row r="4" spans="1:8" ht="14.25" customHeight="1">
      <c r="A4" s="157"/>
      <c r="B4" s="157"/>
      <c r="C4" s="157"/>
      <c r="D4" s="157"/>
      <c r="E4" s="157"/>
      <c r="F4" s="157"/>
      <c r="G4" s="157"/>
      <c r="H4" s="2"/>
    </row>
    <row r="5" spans="1:8" ht="12" customHeight="1">
      <c r="A5" s="157"/>
      <c r="B5" s="157"/>
      <c r="C5" s="157"/>
      <c r="D5" s="157"/>
      <c r="E5" s="157"/>
      <c r="F5" s="157"/>
      <c r="G5" s="157"/>
      <c r="H5" s="2"/>
    </row>
    <row r="6" spans="1:8">
      <c r="A6" s="172"/>
      <c r="B6" s="172"/>
      <c r="C6" s="172"/>
      <c r="D6" s="172"/>
      <c r="E6" s="172"/>
      <c r="F6" s="172"/>
      <c r="G6" s="172"/>
    </row>
    <row r="7" spans="1:8" customFormat="1" ht="15" customHeight="1">
      <c r="A7" s="131" t="s">
        <v>1</v>
      </c>
      <c r="B7" s="131"/>
      <c r="C7" s="137" t="s">
        <v>2</v>
      </c>
      <c r="D7" s="138"/>
      <c r="E7" s="138"/>
      <c r="F7" s="138"/>
      <c r="G7" s="138"/>
    </row>
    <row r="8" spans="1:8" customFormat="1" ht="12" customHeight="1">
      <c r="A8" s="134" t="s">
        <v>3</v>
      </c>
      <c r="B8" s="134"/>
      <c r="C8" s="161" t="s">
        <v>291</v>
      </c>
      <c r="D8" s="146"/>
      <c r="E8" s="146"/>
      <c r="F8" s="146"/>
      <c r="G8" s="146"/>
    </row>
    <row r="9" spans="1:8" customFormat="1" ht="14.25" customHeight="1">
      <c r="A9" s="134" t="s">
        <v>5</v>
      </c>
      <c r="B9" s="134"/>
      <c r="C9" s="161"/>
      <c r="D9" s="146"/>
      <c r="E9" s="146"/>
      <c r="F9" s="146"/>
      <c r="G9" s="146"/>
    </row>
    <row r="10" spans="1:8" customFormat="1" ht="15" customHeight="1">
      <c r="A10" s="148" t="s">
        <v>7</v>
      </c>
      <c r="B10" s="148"/>
      <c r="C10" s="144"/>
      <c r="D10" s="145"/>
      <c r="E10" s="145"/>
      <c r="F10" s="145"/>
      <c r="G10" s="145"/>
    </row>
    <row r="11" spans="1:8" customFormat="1" ht="15" customHeight="1">
      <c r="A11" s="6" t="s">
        <v>10</v>
      </c>
      <c r="B11" s="6"/>
      <c r="C11" s="199"/>
      <c r="D11" s="153"/>
      <c r="E11" s="153"/>
      <c r="F11" s="153"/>
      <c r="G11" s="153"/>
    </row>
    <row r="12" spans="1:8" customFormat="1" ht="14.25" customHeight="1">
      <c r="A12" s="146" t="s">
        <v>120</v>
      </c>
      <c r="B12" s="146"/>
      <c r="C12" s="199" t="s">
        <v>103</v>
      </c>
      <c r="D12" s="153"/>
      <c r="E12" s="153"/>
      <c r="F12" s="153"/>
      <c r="G12" s="153"/>
    </row>
    <row r="13" spans="1:8" customFormat="1" ht="14.25" customHeight="1">
      <c r="A13" s="146" t="s">
        <v>122</v>
      </c>
      <c r="B13" s="146"/>
      <c r="C13" s="199"/>
      <c r="D13" s="153"/>
      <c r="E13" s="153"/>
      <c r="F13" s="153"/>
      <c r="G13" s="153"/>
    </row>
    <row r="14" spans="1:8" customFormat="1" ht="14.25" customHeight="1">
      <c r="A14" s="8" t="s">
        <v>123</v>
      </c>
      <c r="B14" s="8"/>
      <c r="C14" s="199"/>
      <c r="D14" s="153"/>
      <c r="E14" s="153"/>
      <c r="F14" s="153"/>
      <c r="G14" s="153"/>
    </row>
    <row r="15" spans="1:8" customFormat="1" ht="14.25" customHeight="1">
      <c r="A15" s="146"/>
      <c r="B15" s="146"/>
      <c r="C15" s="199"/>
      <c r="D15" s="153"/>
      <c r="E15" s="153"/>
      <c r="F15" s="153"/>
      <c r="G15" s="153"/>
    </row>
    <row r="16" spans="1:8" customFormat="1" ht="15" customHeight="1">
      <c r="A16" s="131" t="s">
        <v>16</v>
      </c>
      <c r="B16" s="131"/>
      <c r="C16" s="199"/>
      <c r="D16" s="153"/>
      <c r="E16" s="153"/>
      <c r="F16" s="153"/>
      <c r="G16" s="153"/>
    </row>
    <row r="17" spans="1:8" customFormat="1" ht="14.25" customHeight="1">
      <c r="A17" s="146" t="s">
        <v>120</v>
      </c>
      <c r="B17" s="146"/>
      <c r="C17" s="199"/>
      <c r="D17" s="153"/>
      <c r="E17" s="153"/>
      <c r="F17" s="153"/>
      <c r="G17" s="153"/>
    </row>
    <row r="18" spans="1:8" customFormat="1" ht="14.25" customHeight="1">
      <c r="A18" s="146" t="s">
        <v>122</v>
      </c>
      <c r="B18" s="146"/>
      <c r="C18" s="199"/>
      <c r="D18" s="153"/>
      <c r="E18" s="153"/>
      <c r="F18" s="153"/>
      <c r="G18" s="153"/>
    </row>
    <row r="19" spans="1:8" customFormat="1" ht="14.25" customHeight="1">
      <c r="A19" s="8" t="s">
        <v>123</v>
      </c>
      <c r="B19" s="8"/>
      <c r="C19" s="199"/>
      <c r="D19" s="153"/>
      <c r="E19" s="153"/>
      <c r="F19" s="153"/>
      <c r="G19" s="153"/>
    </row>
    <row r="20" spans="1:8" customFormat="1" ht="15.6">
      <c r="A20" s="9" t="s">
        <v>18</v>
      </c>
      <c r="B20" s="10" t="s">
        <v>19</v>
      </c>
      <c r="C20" s="199"/>
      <c r="D20" s="153"/>
      <c r="E20" s="153"/>
      <c r="F20" s="153"/>
      <c r="G20" s="153"/>
    </row>
    <row r="21" spans="1:8" customFormat="1" ht="27.75" customHeight="1">
      <c r="A21" s="11" t="s">
        <v>282</v>
      </c>
      <c r="B21" s="12" t="s">
        <v>91</v>
      </c>
      <c r="C21" s="199"/>
      <c r="D21" s="153"/>
      <c r="E21" s="153"/>
      <c r="F21" s="153"/>
      <c r="G21" s="153"/>
    </row>
    <row r="22" spans="1:8" customFormat="1" ht="16.5" customHeight="1">
      <c r="A22" s="9" t="s">
        <v>22</v>
      </c>
      <c r="B22" s="10" t="s">
        <v>23</v>
      </c>
      <c r="C22" s="199"/>
      <c r="D22" s="153"/>
      <c r="E22" s="153"/>
      <c r="F22" s="153"/>
      <c r="G22" s="153"/>
    </row>
    <row r="23" spans="1:8" customFormat="1" ht="18.75" customHeight="1">
      <c r="A23" s="11" t="s">
        <v>292</v>
      </c>
      <c r="B23" s="12" t="s">
        <v>293</v>
      </c>
      <c r="C23" s="200"/>
      <c r="D23" s="201"/>
      <c r="E23" s="201"/>
      <c r="F23" s="201"/>
      <c r="G23" s="201"/>
    </row>
    <row r="24" spans="1:8" customFormat="1" ht="20.399999999999999">
      <c r="A24" s="13" t="s">
        <v>26</v>
      </c>
      <c r="B24" s="182" t="s">
        <v>27</v>
      </c>
      <c r="C24" s="183"/>
      <c r="D24" s="14" t="s">
        <v>106</v>
      </c>
      <c r="E24" s="15" t="s">
        <v>107</v>
      </c>
      <c r="F24" s="16" t="s">
        <v>108</v>
      </c>
      <c r="G24" s="17" t="s">
        <v>109</v>
      </c>
    </row>
    <row r="25" spans="1:8" customFormat="1" ht="15.6">
      <c r="A25" s="18"/>
      <c r="B25" s="19"/>
      <c r="C25" s="19"/>
      <c r="D25" s="20"/>
      <c r="E25" s="19"/>
      <c r="F25" s="19"/>
      <c r="G25" s="20"/>
    </row>
    <row r="26" spans="1:8" ht="11.25" customHeight="1">
      <c r="A26" s="21"/>
      <c r="B26" s="22" t="s">
        <v>286</v>
      </c>
      <c r="C26" s="22"/>
      <c r="D26" s="23"/>
      <c r="E26" s="21"/>
      <c r="F26" s="21"/>
      <c r="G26" s="21"/>
      <c r="H26" s="21"/>
    </row>
    <row r="27" spans="1:8" ht="12" customHeight="1">
      <c r="A27" s="7"/>
      <c r="B27" s="153" t="s">
        <v>287</v>
      </c>
      <c r="C27" s="153"/>
      <c r="D27" s="153"/>
      <c r="E27" s="24"/>
      <c r="F27" s="24"/>
      <c r="G27" s="25"/>
      <c r="H27" s="26"/>
    </row>
    <row r="28" spans="1:8" ht="12" customHeight="1">
      <c r="A28" s="27"/>
      <c r="B28" s="153" t="s">
        <v>288</v>
      </c>
      <c r="C28" s="153"/>
      <c r="D28" s="7"/>
      <c r="E28" s="24"/>
      <c r="F28" s="24"/>
      <c r="G28" s="25"/>
      <c r="H28" s="26"/>
    </row>
    <row r="29" spans="1:8" ht="11.25" customHeight="1">
      <c r="A29" s="21"/>
      <c r="B29" s="153"/>
      <c r="C29" s="153"/>
      <c r="D29" s="28"/>
      <c r="E29" s="21"/>
      <c r="F29" s="21"/>
      <c r="G29" s="21"/>
      <c r="H29" s="21"/>
    </row>
    <row r="30" spans="1:8">
      <c r="A30" s="21"/>
      <c r="B30" s="21"/>
      <c r="C30" s="21"/>
      <c r="D30" s="28"/>
      <c r="E30" s="21"/>
      <c r="F30" s="21"/>
      <c r="G30" s="21"/>
      <c r="H30" s="21"/>
    </row>
    <row r="31" spans="1:8">
      <c r="A31" s="21"/>
      <c r="B31" s="21"/>
      <c r="C31" s="21"/>
      <c r="D31" s="28"/>
      <c r="E31" s="21"/>
      <c r="F31" s="21"/>
      <c r="G31" s="21"/>
      <c r="H31" s="21"/>
    </row>
    <row r="32" spans="1:8">
      <c r="A32" s="156"/>
      <c r="B32" s="156"/>
      <c r="C32" s="29" t="s">
        <v>145</v>
      </c>
      <c r="D32" s="29"/>
      <c r="E32" s="30"/>
      <c r="F32" s="30"/>
      <c r="G32" s="30"/>
      <c r="H32" s="21"/>
    </row>
    <row r="33" spans="1:8">
      <c r="A33" s="21"/>
      <c r="B33" s="28"/>
      <c r="C33" s="28"/>
      <c r="D33" s="28" t="s">
        <v>294</v>
      </c>
      <c r="E33" s="28" t="s">
        <v>295</v>
      </c>
      <c r="F33" s="28" t="s">
        <v>296</v>
      </c>
      <c r="G33" s="31" t="s">
        <v>297</v>
      </c>
      <c r="H33" s="21"/>
    </row>
    <row r="34" spans="1:8">
      <c r="A34" s="21"/>
      <c r="B34" s="28"/>
      <c r="C34" s="28"/>
      <c r="D34" s="28"/>
      <c r="E34" s="28"/>
      <c r="F34" s="28"/>
      <c r="G34" s="28"/>
      <c r="H34" s="21"/>
    </row>
    <row r="35" spans="1:8">
      <c r="A35" s="21"/>
      <c r="D35" s="28"/>
      <c r="E35" s="28"/>
      <c r="F35" s="28"/>
      <c r="G35" s="28"/>
      <c r="H35" s="21"/>
    </row>
    <row r="36" spans="1:8">
      <c r="B36" s="8"/>
      <c r="C36" s="8"/>
      <c r="D36" s="21"/>
      <c r="E36" s="21" t="s">
        <v>116</v>
      </c>
      <c r="F36" s="21"/>
      <c r="G36" s="21"/>
      <c r="H36" s="21"/>
    </row>
    <row r="37" spans="1:8">
      <c r="A37" s="21" t="s">
        <v>117</v>
      </c>
      <c r="B37" s="8"/>
      <c r="C37" s="8"/>
      <c r="D37" s="21"/>
      <c r="E37" s="21"/>
      <c r="F37" s="21"/>
      <c r="G37" s="21"/>
      <c r="H37" s="21"/>
    </row>
    <row r="38" spans="1:8" ht="36" customHeight="1">
      <c r="A38" s="21"/>
      <c r="B38" s="146"/>
      <c r="C38" s="146"/>
      <c r="D38" s="146"/>
      <c r="E38" s="146"/>
      <c r="F38" s="146"/>
      <c r="G38" s="146"/>
      <c r="H38" s="21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198"/>
      <c r="B40" s="198"/>
      <c r="C40" s="198"/>
      <c r="D40" s="198"/>
      <c r="E40" s="198"/>
      <c r="F40" s="198"/>
      <c r="G40" s="198"/>
      <c r="H40" s="198"/>
    </row>
    <row r="44" spans="1:8">
      <c r="E44" s="32" t="s">
        <v>118</v>
      </c>
      <c r="F44" s="32"/>
    </row>
  </sheetData>
  <mergeCells count="24">
    <mergeCell ref="A40:H40"/>
    <mergeCell ref="C12:G23"/>
    <mergeCell ref="A2:G6"/>
    <mergeCell ref="B27:D27"/>
    <mergeCell ref="B28:C28"/>
    <mergeCell ref="B29:C29"/>
    <mergeCell ref="A32:B32"/>
    <mergeCell ref="B38:G38"/>
    <mergeCell ref="A15:B15"/>
    <mergeCell ref="A16:B16"/>
    <mergeCell ref="A17:B17"/>
    <mergeCell ref="A18:B18"/>
    <mergeCell ref="B24:C24"/>
    <mergeCell ref="A10:B10"/>
    <mergeCell ref="C10:G10"/>
    <mergeCell ref="C11:G11"/>
    <mergeCell ref="A12:B12"/>
    <mergeCell ref="A13:B13"/>
    <mergeCell ref="A7:B7"/>
    <mergeCell ref="C7:G7"/>
    <mergeCell ref="A8:B8"/>
    <mergeCell ref="C8:G8"/>
    <mergeCell ref="A9:B9"/>
    <mergeCell ref="C9:G9"/>
  </mergeCells>
  <phoneticPr fontId="25" type="noConversion"/>
  <printOptions horizontalCentered="1"/>
  <pageMargins left="0.47244094488188998" right="0.47244094488188998" top="0.74803149606299202" bottom="0.74803149606299202" header="0.31496062992126" footer="0.31496062992126"/>
  <pageSetup paperSize="9" orientation="portrait" verticalDpi="12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>
      <selection activeCell="J25" sqref="J25"/>
    </sheetView>
  </sheetViews>
  <sheetFormatPr defaultColWidth="9" defaultRowHeight="15.6"/>
  <sheetData/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IV CT</vt:lpstr>
      <vt:lpstr>PL CT</vt:lpstr>
      <vt:lpstr>IV CT (2)</vt:lpstr>
      <vt:lpstr>PL CT (2)</vt:lpstr>
      <vt:lpstr>IV HA (2)</vt:lpstr>
      <vt:lpstr>PL HA (2)</vt:lpstr>
      <vt:lpstr>IV HA</vt:lpstr>
      <vt:lpstr>PL HA</vt:lpstr>
      <vt:lpstr>IV AMS</vt:lpstr>
      <vt:lpstr>PL ams</vt:lpstr>
      <vt:lpstr>PI AMS</vt:lpstr>
      <vt:lpstr>IV CG</vt:lpstr>
      <vt:lpstr>PL CG</vt:lpstr>
      <vt:lpstr>PI LAS</vt:lpstr>
      <vt:lpstr>IV LAS</vt:lpstr>
      <vt:lpstr>IV DA</vt:lpstr>
      <vt:lpstr>PL DA</vt:lpstr>
      <vt:lpstr>IV HUANGHUA</vt:lpstr>
      <vt:lpstr>PL HUANGHUA</vt:lpstr>
      <vt:lpstr>IV DMC</vt:lpstr>
      <vt:lpstr>PL  DMC</vt:lpstr>
      <vt:lpstr>IV THF</vt:lpstr>
      <vt:lpstr>PL THF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jongpil park</cp:lastModifiedBy>
  <cp:lastPrinted>2025-09-28T04:00:00Z</cp:lastPrinted>
  <dcterms:created xsi:type="dcterms:W3CDTF">2008-02-29T01:49:00Z</dcterms:created>
  <dcterms:modified xsi:type="dcterms:W3CDTF">2026-03-17T09:37:26Z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AA09C2B304F84225BADED0B692FB11F6_12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