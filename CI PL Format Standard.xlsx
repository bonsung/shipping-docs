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CloudDrive\00 자동화 Daily 업무\실험프로젝트\"/>
    </mc:Choice>
  </mc:AlternateContent>
  <xr:revisionPtr revIDLastSave="0" documentId="13_ncr:1_{7CF8573B-9073-4795-B93F-EA4334AB86A4}" xr6:coauthVersionLast="47" xr6:coauthVersionMax="47" xr10:uidLastSave="{00000000-0000-0000-0000-000000000000}"/>
  <bookViews>
    <workbookView xWindow="-108" yWindow="-108" windowWidth="23256" windowHeight="12456" xr2:uid="{BEF6267A-2C21-4AF1-9954-1B5D78238B52}"/>
  </bookViews>
  <sheets>
    <sheet name="PL format" sheetId="2" r:id="rId1"/>
    <sheet name="CI format" sheetId="1" r:id="rId2"/>
  </sheets>
  <definedNames>
    <definedName name="_xlnm.Print_Area" localSheetId="1">'CI format'!$A$1:$G$49</definedName>
    <definedName name="_xlnm.Print_Area" localSheetId="0">'PL format'!$A$1:$G$51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" l="1"/>
  <c r="C35" i="1"/>
  <c r="C30" i="2"/>
  <c r="C28" i="2"/>
  <c r="B25" i="2"/>
  <c r="A25" i="2"/>
  <c r="B23" i="2"/>
  <c r="A23" i="2"/>
  <c r="A19" i="2"/>
  <c r="A18" i="2"/>
  <c r="A15" i="2"/>
  <c r="A14" i="2"/>
  <c r="G9" i="2"/>
  <c r="D9" i="2"/>
  <c r="A10" i="2"/>
  <c r="A9" i="2"/>
  <c r="A7" i="2"/>
  <c r="F37" i="2"/>
  <c r="F36" i="2"/>
  <c r="F35" i="2"/>
  <c r="F34" i="2"/>
  <c r="F33" i="2"/>
  <c r="F44" i="1"/>
  <c r="G34" i="1"/>
  <c r="G44" i="1" s="1"/>
  <c r="D44" i="1" l="1"/>
</calcChain>
</file>

<file path=xl/sharedStrings.xml><?xml version="1.0" encoding="utf-8"?>
<sst xmlns="http://schemas.openxmlformats.org/spreadsheetml/2006/main" count="90" uniqueCount="69">
  <si>
    <t>TOTAL</t>
  </si>
  <si>
    <t>CHINA</t>
  </si>
  <si>
    <t xml:space="preserve">COUNTRY OF ORIGIN: </t>
    <phoneticPr fontId="2" type="noConversion"/>
  </si>
  <si>
    <t>IN  FLEXIBAG</t>
    <phoneticPr fontId="2" type="noConversion"/>
  </si>
  <si>
    <t>PACKING:</t>
    <phoneticPr fontId="2" type="noConversion"/>
  </si>
  <si>
    <t xml:space="preserve">N/M </t>
  </si>
  <si>
    <t>CIF BUSAN  PORT, SOUTH KOREA</t>
  </si>
  <si>
    <t>PRICE TERMS:</t>
  </si>
  <si>
    <t>USD</t>
  </si>
  <si>
    <t>USD/MT</t>
    <phoneticPr fontId="2" type="noConversion"/>
  </si>
  <si>
    <t>MT</t>
  </si>
  <si>
    <t>16.Amount</t>
  </si>
  <si>
    <t>15.Unit Price</t>
  </si>
  <si>
    <t>14.Quantity</t>
  </si>
  <si>
    <t>13.Description of Goods</t>
  </si>
  <si>
    <t>12.Marks and Number of PKGS</t>
  </si>
  <si>
    <r>
      <t>NOV. 30</t>
    </r>
    <r>
      <rPr>
        <sz val="9"/>
        <color theme="3" tint="0.39997558519241921"/>
        <rFont val="宋体"/>
      </rPr>
      <t>，</t>
    </r>
    <r>
      <rPr>
        <sz val="9"/>
        <color theme="3" tint="0.39997558519241921"/>
        <rFont val="Times New Roman"/>
        <family val="1"/>
      </rPr>
      <t>2025</t>
    </r>
  </si>
  <si>
    <t>EASLINE DALIAN/2548E</t>
  </si>
  <si>
    <t>7.Sailing on or About</t>
  </si>
  <si>
    <t>6.Vessel/Voy. No.</t>
    <phoneticPr fontId="2" type="noConversion"/>
  </si>
  <si>
    <t>BUSAN  PORT, SOUTH KOREA</t>
  </si>
  <si>
    <t>QINGDAO PORT,CHINA</t>
  </si>
  <si>
    <t>5. Final Destination</t>
  </si>
  <si>
    <t>4.Port of Loading</t>
  </si>
  <si>
    <t>DO, REPUBLIC OF KOREA 10543</t>
  </si>
  <si>
    <t xml:space="preserve">GKF CO.,LTD
</t>
  </si>
  <si>
    <t>3.Notify Party:</t>
  </si>
  <si>
    <t>110, EUTTEUM-RO, DEOGANG-GU, GOYANG-SI, GYEONGGI-</t>
  </si>
  <si>
    <r>
      <rPr>
        <b/>
        <sz val="9"/>
        <rFont val="Times New Roman"/>
        <family val="1"/>
      </rPr>
      <t>11.Remark</t>
    </r>
    <r>
      <rPr>
        <sz val="9"/>
        <rFont val="Times New Roman"/>
        <family val="1"/>
      </rPr>
      <t xml:space="preserve">   </t>
    </r>
    <phoneticPr fontId="2" type="noConversion"/>
  </si>
  <si>
    <t>2. Consignee:</t>
  </si>
  <si>
    <t>10.No. &amp; Date of Contract</t>
  </si>
  <si>
    <t>LAOSHAN DISTRICT ,QINGDAO, CHINA</t>
  </si>
  <si>
    <t>9.No. &amp; Date of L/C</t>
  </si>
  <si>
    <t xml:space="preserve">RM A 903, ART&amp; TECHNOLOGY SPACE, NO. 63, HAIER RD.,
</t>
  </si>
  <si>
    <t>QINGDAO EASY-TECH IMP.&amp;EXP. CO.,LTD.</t>
  </si>
  <si>
    <t>8.No. &amp; Date of invoice</t>
  </si>
  <si>
    <t>1.Shipper/Exporter:</t>
  </si>
  <si>
    <r>
      <t>TO:</t>
    </r>
    <r>
      <rPr>
        <b/>
        <sz val="10"/>
        <color theme="3" tint="0.39997558519241921"/>
        <rFont val="Times New Roman"/>
        <family val="1"/>
      </rPr>
      <t>GKF CO.,LTD</t>
    </r>
    <phoneticPr fontId="2" type="noConversion"/>
  </si>
  <si>
    <t>COMMERCIAL INVOICE</t>
  </si>
  <si>
    <t xml:space="preserve">COMMODITY: </t>
    <phoneticPr fontId="2" type="noConversion"/>
  </si>
  <si>
    <t>MIXED FATTY ACID</t>
  </si>
  <si>
    <t xml:space="preserve">2025MFA1120-001                                             </t>
    <phoneticPr fontId="2" type="noConversion"/>
  </si>
  <si>
    <t>NOV. 20, 2025</t>
  </si>
  <si>
    <t xml:space="preserve">M04FU2511NU00018                                         </t>
    <phoneticPr fontId="2" type="noConversion"/>
  </si>
  <si>
    <t>NOV. 13，2025</t>
  </si>
  <si>
    <t xml:space="preserve">ETQMFA251112-001                                          </t>
    <phoneticPr fontId="2" type="noConversion"/>
  </si>
  <si>
    <t>NOV.11 , 2025</t>
  </si>
  <si>
    <t xml:space="preserve">Signed by                         </t>
    <phoneticPr fontId="2" type="noConversion"/>
  </si>
  <si>
    <t>PACKING LIST</t>
  </si>
  <si>
    <t>12.Quantity</t>
  </si>
  <si>
    <t>13.NET WEIGHT</t>
  </si>
  <si>
    <t>14.GROSS WEIGHT</t>
  </si>
  <si>
    <t>15. MEASUREMENT</t>
  </si>
  <si>
    <t>CONTAINER NO./SEAL NO.</t>
  </si>
  <si>
    <t>SPSU2034292/PESU0125381</t>
  </si>
  <si>
    <t>22CBM</t>
  </si>
  <si>
    <t>SLPU2040770/PESU0125349</t>
  </si>
  <si>
    <t>SEKU1777160/PESU0125348</t>
  </si>
  <si>
    <t>SPSU2013601/PESU0115330</t>
  </si>
  <si>
    <t>SEKU1776498/PESU0115321</t>
  </si>
  <si>
    <t>5 Flexibag</t>
  </si>
  <si>
    <t>110CBM</t>
  </si>
  <si>
    <t xml:space="preserve">9.Remarks                                                                                                              </t>
    <phoneticPr fontId="2" type="noConversion"/>
  </si>
  <si>
    <t>LC NO.: M04FU2511NU00018</t>
    <phoneticPr fontId="2" type="noConversion"/>
  </si>
  <si>
    <t>6.Vessel/Voy. No.</t>
    <phoneticPr fontId="2" type="noConversion"/>
  </si>
  <si>
    <r>
      <t>QUANTITY</t>
    </r>
    <r>
      <rPr>
        <b/>
        <sz val="9"/>
        <rFont val="宋体"/>
      </rPr>
      <t>：</t>
    </r>
    <phoneticPr fontId="2" type="noConversion"/>
  </si>
  <si>
    <t>110, EUTTEUM-RO, DEOGANG-GU, GOYANG-SI, GYEONGGI-</t>
    <phoneticPr fontId="2" type="noConversion"/>
  </si>
  <si>
    <t>10.Marks and Number of PKGS</t>
    <phoneticPr fontId="2" type="noConversion"/>
  </si>
  <si>
    <t>11.Description of Goods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</si>
</sst>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.00_ ;_ * \-#,##0.00_ ;_ * &quot;-&quot;??_ ;_ @_ "/>
    <numFmt numFmtId="177" formatCode="_-&quot;US$&quot;* #,##0.00_ ;_-&quot;US$&quot;* \-#,##0.00\ ;_-&quot;US$&quot;* &quot;-&quot;??_ ;_-@_ "/>
    <numFmt numFmtId="178" formatCode="0.0_ "/>
    <numFmt numFmtId="179" formatCode="#,##0.00_ "/>
    <numFmt numFmtId="180" formatCode="&quot;USD&quot;#,##0.00_ "/>
    <numFmt numFmtId="181" formatCode="0.00_ "/>
    <numFmt numFmtId="182" formatCode="#,##0_ "/>
    <numFmt numFmtId="183" formatCode="#,##0_ &quot;KGS&quot;"/>
    <numFmt numFmtId="184" formatCode="#,##0\'&quot;MT&quot;"/>
  </numFmts>
  <fonts count="17">
    <font>
      <sz val="12"/>
      <name val="宋体"/>
    </font>
    <font>
      <sz val="12"/>
      <name val="宋体"/>
    </font>
    <font>
      <sz val="8"/>
      <name val="돋움"/>
      <family val="3"/>
      <charset val="129"/>
    </font>
    <font>
      <sz val="10"/>
      <name val="宋体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3" tint="0.39997558519241921"/>
      <name val="Times New Roman"/>
      <family val="1"/>
    </font>
    <font>
      <sz val="10"/>
      <name val="맑은 고딕"/>
      <family val="3"/>
      <charset val="129"/>
    </font>
    <font>
      <b/>
      <sz val="9"/>
      <name val="宋体"/>
    </font>
    <font>
      <b/>
      <sz val="9"/>
      <color theme="3" tint="0.39997558519241921"/>
      <name val="Times New Roman"/>
      <family val="1"/>
    </font>
    <font>
      <b/>
      <sz val="8"/>
      <name val="Times New Roman"/>
      <family val="1"/>
    </font>
    <font>
      <sz val="9"/>
      <color theme="3" tint="0.39997558519241921"/>
      <name val="宋体"/>
    </font>
    <font>
      <b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b/>
      <sz val="16"/>
      <name val="Times New Roman"/>
      <family val="1"/>
    </font>
    <font>
      <b/>
      <sz val="10"/>
      <name val="맑은 고딕"/>
      <family val="3"/>
      <charset val="129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10" fillId="0" borderId="4" xfId="0" applyFont="1" applyBorder="1" applyAlignment="1">
      <alignment horizontal="justify" vertical="top" wrapText="1"/>
    </xf>
    <xf numFmtId="0" fontId="10" fillId="0" borderId="4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15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179" fontId="6" fillId="0" borderId="0" xfId="1" applyNumberFormat="1" applyFont="1" applyBorder="1" applyAlignment="1">
      <alignment horizontal="center" vertical="top" wrapText="1"/>
    </xf>
    <xf numFmtId="176" fontId="5" fillId="0" borderId="0" xfId="1" applyFont="1" applyBorder="1" applyAlignment="1">
      <alignment horizontal="center" vertical="top" wrapText="1"/>
    </xf>
    <xf numFmtId="178" fontId="5" fillId="0" borderId="0" xfId="0" applyNumberFormat="1" applyFont="1" applyAlignment="1">
      <alignment horizontal="center" vertical="top" wrapText="1"/>
    </xf>
    <xf numFmtId="15" fontId="6" fillId="0" borderId="15" xfId="0" applyNumberFormat="1" applyFont="1" applyBorder="1" applyAlignment="1">
      <alignment horizontal="justify" vertical="top" wrapText="1"/>
    </xf>
    <xf numFmtId="0" fontId="14" fillId="0" borderId="0" xfId="0" applyFont="1">
      <alignment vertical="center"/>
    </xf>
    <xf numFmtId="0" fontId="4" fillId="0" borderId="4" xfId="0" applyFont="1" applyBorder="1" applyAlignment="1">
      <alignment vertical="top" wrapText="1"/>
    </xf>
    <xf numFmtId="182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right" vertical="top" wrapText="1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right" vertical="top" wrapText="1"/>
    </xf>
    <xf numFmtId="182" fontId="4" fillId="2" borderId="0" xfId="0" applyNumberFormat="1" applyFont="1" applyFill="1" applyAlignment="1">
      <alignment horizontal="right" vertical="center" wrapText="1"/>
    </xf>
    <xf numFmtId="182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4" fillId="0" borderId="0" xfId="2" applyFont="1" applyAlignment="1">
      <alignment horizontal="center" vertical="top" wrapText="1"/>
    </xf>
    <xf numFmtId="182" fontId="4" fillId="0" borderId="0" xfId="2" applyNumberFormat="1" applyFont="1" applyAlignment="1">
      <alignment horizontal="center" vertical="top" wrapText="1"/>
    </xf>
    <xf numFmtId="0" fontId="4" fillId="0" borderId="1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5" fontId="6" fillId="0" borderId="8" xfId="0" applyNumberFormat="1" applyFont="1" applyBorder="1" applyAlignment="1">
      <alignment horizontal="justify" vertical="top" wrapText="1"/>
    </xf>
    <xf numFmtId="182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top" wrapText="1"/>
    </xf>
    <xf numFmtId="183" fontId="9" fillId="0" borderId="0" xfId="0" applyNumberFormat="1" applyFont="1" applyAlignment="1">
      <alignment horizontal="right" vertical="top" wrapText="1"/>
    </xf>
    <xf numFmtId="181" fontId="9" fillId="0" borderId="0" xfId="0" applyNumberFormat="1" applyFont="1" applyAlignment="1">
      <alignment horizontal="right" vertical="top" wrapText="1"/>
    </xf>
    <xf numFmtId="0" fontId="4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180" fontId="9" fillId="0" borderId="0" xfId="0" applyNumberFormat="1" applyFont="1" applyAlignment="1">
      <alignment horizontal="center" vertical="top" wrapText="1"/>
    </xf>
    <xf numFmtId="177" fontId="9" fillId="0" borderId="0" xfId="1" applyNumberFormat="1" applyFont="1" applyAlignment="1">
      <alignment horizontal="center" vertical="top" wrapText="1"/>
    </xf>
    <xf numFmtId="0" fontId="4" fillId="0" borderId="8" xfId="0" applyFont="1" applyBorder="1" applyAlignment="1">
      <alignment horizontal="justify" vertical="top" wrapText="1"/>
    </xf>
    <xf numFmtId="0" fontId="12" fillId="0" borderId="6" xfId="0" applyFont="1" applyBorder="1">
      <alignment vertical="center"/>
    </xf>
    <xf numFmtId="0" fontId="0" fillId="0" borderId="6" xfId="0" applyBorder="1">
      <alignment vertical="center"/>
    </xf>
    <xf numFmtId="0" fontId="12" fillId="0" borderId="0" xfId="0" applyFont="1" applyAlignment="1">
      <alignment horizontal="left" vertical="center"/>
    </xf>
    <xf numFmtId="184" fontId="6" fillId="0" borderId="0" xfId="0" applyNumberFormat="1" applyFont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2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0" fontId="6" fillId="0" borderId="9" xfId="0" applyFont="1" applyBorder="1" applyAlignment="1">
      <alignment horizontal="justify" vertical="top" wrapText="1"/>
    </xf>
    <xf numFmtId="0" fontId="5" fillId="0" borderId="7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3" xfId="0" applyFont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183" fontId="6" fillId="0" borderId="0" xfId="0" applyNumberFormat="1" applyFont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</cellXfs>
  <cellStyles count="3">
    <cellStyle name="常规 2 2" xfId="2" xr:uid="{232A036C-44CA-424E-A5B1-94FAC43D2961}"/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323850</xdr:colOff>
      <xdr:row>1</xdr:row>
      <xdr:rowOff>114300</xdr:rowOff>
    </xdr:from>
    <xdr:ext cx="1295399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1AC01-9908-4B8B-945E-40A56DEB9F83}"/>
            </a:ext>
          </a:extLst>
        </xdr:cNvPr>
        <xdr:cNvSpPr txBox="1"/>
      </xdr:nvSpPr>
      <xdr:spPr>
        <a:xfrm>
          <a:off x="5490210" y="266700"/>
          <a:ext cx="1295399" cy="40543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367665</xdr:colOff>
      <xdr:row>1</xdr:row>
      <xdr:rowOff>66675</xdr:rowOff>
    </xdr:from>
    <xdr:ext cx="1285875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BBB7C-B954-4638-BBD8-1C36D595929C}"/>
            </a:ext>
          </a:extLst>
        </xdr:cNvPr>
        <xdr:cNvSpPr txBox="1"/>
      </xdr:nvSpPr>
      <xdr:spPr>
        <a:xfrm>
          <a:off x="5442585" y="264795"/>
          <a:ext cx="1285875" cy="40543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E5CA-D5C4-404A-BD18-38BC865033BA}">
  <dimension ref="A2:H50"/>
  <sheetViews>
    <sheetView showGridLines="0" tabSelected="1" workbookViewId="0">
      <selection activeCell="H7" sqref="H7"/>
    </sheetView>
  </sheetViews>
  <sheetFormatPr defaultColWidth="9" defaultRowHeight="12"/>
  <cols>
    <col min="1" max="1" width="20.5" style="16" customWidth="1"/>
    <col min="2" max="2" width="20.796875" style="16" customWidth="1"/>
    <col min="3" max="4" width="8.59765625" style="16" customWidth="1"/>
    <col min="5" max="6" width="9.296875" style="16" customWidth="1"/>
    <col min="7" max="7" width="13.296875" style="16" customWidth="1"/>
    <col min="8" max="8" width="11.8984375" style="16" customWidth="1"/>
    <col min="9" max="9" width="16" style="16" customWidth="1"/>
    <col min="10" max="16384" width="9" style="16"/>
  </cols>
  <sheetData>
    <row r="2" spans="1:8" ht="14.25" customHeight="1">
      <c r="A2" s="81" t="s">
        <v>48</v>
      </c>
      <c r="B2" s="81"/>
      <c r="C2" s="81"/>
      <c r="D2" s="81"/>
      <c r="E2" s="81"/>
      <c r="F2" s="81"/>
      <c r="G2" s="81"/>
      <c r="H2" s="31"/>
    </row>
    <row r="3" spans="1:8" ht="14.25" customHeight="1">
      <c r="A3" s="81"/>
      <c r="B3" s="81"/>
      <c r="C3" s="81"/>
      <c r="D3" s="81"/>
      <c r="E3" s="81"/>
      <c r="F3" s="81"/>
      <c r="G3" s="81"/>
      <c r="H3" s="31"/>
    </row>
    <row r="4" spans="1:8" ht="14.25" customHeight="1">
      <c r="A4" s="81"/>
      <c r="B4" s="81"/>
      <c r="C4" s="81"/>
      <c r="D4" s="81"/>
      <c r="E4" s="81"/>
      <c r="F4" s="81"/>
      <c r="G4" s="81"/>
      <c r="H4" s="31"/>
    </row>
    <row r="5" spans="1:8" ht="12" customHeight="1">
      <c r="A5" s="81"/>
      <c r="B5" s="81"/>
      <c r="C5" s="81"/>
      <c r="D5" s="81"/>
      <c r="E5" s="81"/>
      <c r="F5" s="81"/>
      <c r="G5" s="81"/>
      <c r="H5" s="31"/>
    </row>
    <row r="6" spans="1:8">
      <c r="A6" s="81"/>
      <c r="B6" s="81"/>
      <c r="C6" s="81"/>
      <c r="D6" s="81"/>
      <c r="E6" s="81"/>
      <c r="F6" s="81"/>
      <c r="G6" s="81"/>
    </row>
    <row r="7" spans="1:8" customFormat="1" ht="13.5" customHeight="1">
      <c r="A7" s="56" t="str">
        <f>'CI format'!A10</f>
        <v>TO:GKF CO.,LTD</v>
      </c>
      <c r="B7" s="56"/>
      <c r="C7" s="57"/>
      <c r="D7" s="57"/>
      <c r="E7" s="57"/>
      <c r="F7" s="57"/>
      <c r="G7" s="57"/>
      <c r="H7" s="9"/>
    </row>
    <row r="8" spans="1:8" customFormat="1" ht="15" customHeight="1">
      <c r="A8" s="77" t="s">
        <v>36</v>
      </c>
      <c r="B8" s="82"/>
      <c r="C8" s="78"/>
      <c r="D8" s="77" t="s">
        <v>35</v>
      </c>
      <c r="E8" s="82"/>
      <c r="F8" s="82"/>
      <c r="G8" s="78"/>
    </row>
    <row r="9" spans="1:8" customFormat="1" ht="13.5" customHeight="1">
      <c r="A9" s="83" t="str">
        <f>'CI format'!A12:C12</f>
        <v>QINGDAO EASY-TECH IMP.&amp;EXP. CO.,LTD.</v>
      </c>
      <c r="B9" s="84"/>
      <c r="C9" s="85"/>
      <c r="D9" s="83" t="str">
        <f>'CI format'!D12:F12</f>
        <v xml:space="preserve">2025MFA1120-001                                             </v>
      </c>
      <c r="E9" s="84"/>
      <c r="F9" s="84"/>
      <c r="G9" s="51" t="str">
        <f>'CI format'!G12</f>
        <v>NOV. 20, 2025</v>
      </c>
    </row>
    <row r="10" spans="1:8" customFormat="1" ht="15" customHeight="1">
      <c r="A10" s="83" t="str">
        <f>'CI format'!A13:C13</f>
        <v xml:space="preserve">RM A 903, ART&amp; TECHNOLOGY SPACE, NO. 63, HAIER RD.,
</v>
      </c>
      <c r="B10" s="84"/>
      <c r="C10" s="85"/>
      <c r="D10" s="131"/>
      <c r="E10" s="132"/>
      <c r="F10" s="132"/>
      <c r="G10" s="130"/>
    </row>
    <row r="11" spans="1:8" customFormat="1" ht="15" customHeight="1">
      <c r="A11" s="83" t="s">
        <v>31</v>
      </c>
      <c r="B11" s="84"/>
      <c r="C11" s="85"/>
      <c r="D11" s="131"/>
      <c r="E11" s="132"/>
      <c r="F11" s="132"/>
      <c r="G11" s="130"/>
    </row>
    <row r="12" spans="1:8" customFormat="1" ht="15" customHeight="1">
      <c r="A12" s="96"/>
      <c r="B12" s="97"/>
      <c r="C12" s="98"/>
      <c r="D12" s="74"/>
      <c r="E12" s="75"/>
      <c r="F12" s="75"/>
      <c r="G12" s="133"/>
    </row>
    <row r="13" spans="1:8" customFormat="1" ht="14.25" customHeight="1">
      <c r="A13" s="77" t="s">
        <v>29</v>
      </c>
      <c r="B13" s="82"/>
      <c r="C13" s="78"/>
      <c r="D13" s="77" t="s">
        <v>62</v>
      </c>
      <c r="E13" s="82"/>
      <c r="F13" s="82"/>
      <c r="G13" s="78"/>
    </row>
    <row r="14" spans="1:8" customFormat="1" ht="14.25" customHeight="1">
      <c r="A14" s="83" t="str">
        <f>'CI format'!A17:C17</f>
        <v xml:space="preserve">GKF CO.,LTD
</v>
      </c>
      <c r="B14" s="84"/>
      <c r="C14" s="85"/>
      <c r="D14" s="87" t="s">
        <v>63</v>
      </c>
      <c r="E14" s="88"/>
      <c r="F14" s="88"/>
      <c r="G14" s="89"/>
    </row>
    <row r="15" spans="1:8" customFormat="1" ht="14.25" customHeight="1">
      <c r="A15" s="83" t="str">
        <f>'CI format'!A18:C18</f>
        <v>110, EUTTEUM-RO, DEOGANG-GU, GOYANG-SI, GYEONGGI-</v>
      </c>
      <c r="B15" s="84"/>
      <c r="C15" s="85"/>
      <c r="D15" s="87"/>
      <c r="E15" s="88"/>
      <c r="F15" s="88"/>
      <c r="G15" s="89"/>
    </row>
    <row r="16" spans="1:8" customFormat="1" ht="16.5" customHeight="1">
      <c r="A16" s="66" t="s">
        <v>24</v>
      </c>
      <c r="B16" s="99"/>
      <c r="C16" s="67"/>
      <c r="D16" s="87"/>
      <c r="E16" s="88"/>
      <c r="F16" s="88"/>
      <c r="G16" s="89"/>
    </row>
    <row r="17" spans="1:8" customFormat="1" ht="14.25" customHeight="1">
      <c r="A17" s="64" t="s">
        <v>26</v>
      </c>
      <c r="B17" s="100"/>
      <c r="C17" s="65"/>
      <c r="D17" s="87"/>
      <c r="E17" s="88"/>
      <c r="F17" s="88"/>
      <c r="G17" s="89"/>
    </row>
    <row r="18" spans="1:8" customFormat="1" ht="14.25" customHeight="1">
      <c r="A18" s="83" t="str">
        <f>'CI format'!A22:C22</f>
        <v xml:space="preserve">GKF CO.,LTD
</v>
      </c>
      <c r="B18" s="84"/>
      <c r="C18" s="85"/>
      <c r="D18" s="87"/>
      <c r="E18" s="88"/>
      <c r="F18" s="88"/>
      <c r="G18" s="89"/>
    </row>
    <row r="19" spans="1:8" customFormat="1" ht="14.25" customHeight="1">
      <c r="A19" s="83" t="str">
        <f>'CI format'!A23:C23</f>
        <v>110, EUTTEUM-RO, DEOGANG-GU, GOYANG-SI, GYEONGGI-</v>
      </c>
      <c r="B19" s="84"/>
      <c r="C19" s="85"/>
      <c r="D19" s="87"/>
      <c r="E19" s="88"/>
      <c r="F19" s="88"/>
      <c r="G19" s="89"/>
    </row>
    <row r="20" spans="1:8" customFormat="1" ht="14.25" customHeight="1">
      <c r="A20" s="83" t="s">
        <v>24</v>
      </c>
      <c r="B20" s="84"/>
      <c r="C20" s="85"/>
      <c r="D20" s="87"/>
      <c r="E20" s="88"/>
      <c r="F20" s="88"/>
      <c r="G20" s="89"/>
    </row>
    <row r="21" spans="1:8" customFormat="1" ht="12" customHeight="1">
      <c r="A21" s="74"/>
      <c r="B21" s="75"/>
      <c r="C21" s="76"/>
      <c r="D21" s="87"/>
      <c r="E21" s="88"/>
      <c r="F21" s="88"/>
      <c r="G21" s="89"/>
    </row>
    <row r="22" spans="1:8" customFormat="1" ht="15.6">
      <c r="A22" s="14" t="s">
        <v>23</v>
      </c>
      <c r="B22" s="77" t="s">
        <v>22</v>
      </c>
      <c r="C22" s="78"/>
      <c r="D22" s="87"/>
      <c r="E22" s="88"/>
      <c r="F22" s="88"/>
      <c r="G22" s="89"/>
    </row>
    <row r="23" spans="1:8" customFormat="1" ht="15.6">
      <c r="A23" s="23" t="str">
        <f>'CI format'!A27</f>
        <v>QINGDAO PORT,CHINA</v>
      </c>
      <c r="B23" s="79" t="str">
        <f>'CI format'!B27:C27</f>
        <v>BUSAN  PORT, SOUTH KOREA</v>
      </c>
      <c r="C23" s="80"/>
      <c r="D23" s="87"/>
      <c r="E23" s="88"/>
      <c r="F23" s="88"/>
      <c r="G23" s="89"/>
    </row>
    <row r="24" spans="1:8" customFormat="1" ht="15.6">
      <c r="A24" s="55" t="s">
        <v>64</v>
      </c>
      <c r="B24" s="64" t="s">
        <v>18</v>
      </c>
      <c r="C24" s="65"/>
      <c r="D24" s="87"/>
      <c r="E24" s="88"/>
      <c r="F24" s="88"/>
      <c r="G24" s="89"/>
    </row>
    <row r="25" spans="1:8" customFormat="1" ht="15.6">
      <c r="A25" s="45" t="str">
        <f>'CI format'!A29</f>
        <v>EASLINE DALIAN/2548E</v>
      </c>
      <c r="B25" s="66" t="str">
        <f>'CI format'!B29:C29</f>
        <v>NOV. 30，2025</v>
      </c>
      <c r="C25" s="67"/>
      <c r="D25" s="90"/>
      <c r="E25" s="91"/>
      <c r="F25" s="91"/>
      <c r="G25" s="92"/>
    </row>
    <row r="26" spans="1:8" customFormat="1" ht="20.399999999999999">
      <c r="A26" s="13" t="s">
        <v>67</v>
      </c>
      <c r="B26" s="68" t="s">
        <v>68</v>
      </c>
      <c r="C26" s="69"/>
      <c r="D26" s="12" t="s">
        <v>49</v>
      </c>
      <c r="E26" s="20" t="s">
        <v>50</v>
      </c>
      <c r="F26" s="21" t="s">
        <v>51</v>
      </c>
      <c r="G26" s="12" t="s">
        <v>52</v>
      </c>
    </row>
    <row r="27" spans="1:8">
      <c r="A27" s="93"/>
      <c r="B27" s="93"/>
      <c r="C27" s="93"/>
      <c r="D27" s="93"/>
      <c r="E27" s="93"/>
      <c r="F27" s="93"/>
      <c r="G27" s="93"/>
      <c r="H27" s="3"/>
    </row>
    <row r="28" spans="1:8" ht="12" customHeight="1">
      <c r="A28" s="94"/>
      <c r="B28" s="25" t="s">
        <v>39</v>
      </c>
      <c r="C28" s="134" t="str">
        <f>'CI format'!C34</f>
        <v>MIXED FATTY ACID</v>
      </c>
      <c r="D28" s="134"/>
      <c r="E28" s="134"/>
      <c r="F28" s="134"/>
      <c r="G28" s="134"/>
      <c r="H28" s="6"/>
    </row>
    <row r="29" spans="1:8" ht="12" customHeight="1">
      <c r="A29" s="94"/>
      <c r="B29" s="8" t="s">
        <v>65</v>
      </c>
      <c r="C29" s="135">
        <f>E45</f>
        <v>100000</v>
      </c>
      <c r="D29" s="135"/>
      <c r="E29" s="135"/>
      <c r="F29" s="135"/>
      <c r="G29" s="135"/>
      <c r="H29" s="6"/>
    </row>
    <row r="30" spans="1:8" ht="15.6" customHeight="1">
      <c r="A30" s="94"/>
      <c r="B30" s="8" t="s">
        <v>4</v>
      </c>
      <c r="C30" s="84" t="str">
        <f>'CI format'!C36</f>
        <v>IN  FLEXIBAG</v>
      </c>
      <c r="D30" s="84"/>
      <c r="E30" s="84"/>
      <c r="F30" s="84"/>
      <c r="G30" s="84"/>
      <c r="H30" s="3"/>
    </row>
    <row r="31" spans="1:8" s="8" customFormat="1" ht="9.4499999999999993" customHeight="1">
      <c r="A31" s="94"/>
      <c r="B31" s="136"/>
      <c r="C31" s="136"/>
      <c r="D31" s="136"/>
      <c r="E31" s="136"/>
      <c r="F31" s="136"/>
      <c r="G31" s="136"/>
      <c r="H31" s="3"/>
    </row>
    <row r="32" spans="1:8" s="8" customFormat="1" ht="13.8" customHeight="1">
      <c r="A32" s="94"/>
      <c r="B32" s="70" t="s">
        <v>53</v>
      </c>
      <c r="C32" s="71"/>
      <c r="D32" s="32"/>
      <c r="E32" s="33"/>
      <c r="F32" s="32"/>
      <c r="G32" s="32"/>
      <c r="H32" s="3"/>
    </row>
    <row r="33" spans="1:8" s="8" customFormat="1" ht="13.8" customHeight="1">
      <c r="A33" s="94"/>
      <c r="B33" s="72" t="s">
        <v>54</v>
      </c>
      <c r="C33" s="73"/>
      <c r="D33" s="34"/>
      <c r="E33" s="46">
        <v>20000</v>
      </c>
      <c r="F33" s="46">
        <f>E33+110</f>
        <v>20110</v>
      </c>
      <c r="G33" s="47" t="s">
        <v>55</v>
      </c>
    </row>
    <row r="34" spans="1:8" s="8" customFormat="1" ht="13.8" customHeight="1">
      <c r="A34" s="94"/>
      <c r="B34" s="60" t="s">
        <v>56</v>
      </c>
      <c r="C34" s="61"/>
      <c r="D34" s="35"/>
      <c r="E34" s="46">
        <v>20000</v>
      </c>
      <c r="F34" s="46">
        <f>E34+110</f>
        <v>20110</v>
      </c>
      <c r="G34" s="47" t="s">
        <v>55</v>
      </c>
      <c r="H34" s="3"/>
    </row>
    <row r="35" spans="1:8" s="8" customFormat="1" ht="13.8" customHeight="1">
      <c r="A35" s="94"/>
      <c r="B35" s="62" t="s">
        <v>57</v>
      </c>
      <c r="C35" s="63"/>
      <c r="D35" s="35"/>
      <c r="E35" s="46">
        <v>20000</v>
      </c>
      <c r="F35" s="46">
        <f>E35+110</f>
        <v>20110</v>
      </c>
      <c r="G35" s="47" t="s">
        <v>55</v>
      </c>
      <c r="H35" s="3"/>
    </row>
    <row r="36" spans="1:8" s="8" customFormat="1" ht="13.8" customHeight="1">
      <c r="A36" s="94"/>
      <c r="B36" s="62" t="s">
        <v>58</v>
      </c>
      <c r="C36" s="63"/>
      <c r="D36" s="35"/>
      <c r="E36" s="46">
        <v>19750</v>
      </c>
      <c r="F36" s="46">
        <f>E36+110</f>
        <v>19860</v>
      </c>
      <c r="G36" s="47" t="s">
        <v>55</v>
      </c>
      <c r="H36" s="3"/>
    </row>
    <row r="37" spans="1:8" s="8" customFormat="1" ht="13.8" customHeight="1">
      <c r="A37" s="94"/>
      <c r="B37" s="62" t="s">
        <v>59</v>
      </c>
      <c r="C37" s="63"/>
      <c r="D37" s="35"/>
      <c r="E37" s="46">
        <v>20250</v>
      </c>
      <c r="F37" s="46">
        <f>E37+110</f>
        <v>20360</v>
      </c>
      <c r="G37" s="47" t="s">
        <v>55</v>
      </c>
      <c r="H37" s="3"/>
    </row>
    <row r="38" spans="1:8" s="8" customFormat="1" ht="12" customHeight="1">
      <c r="A38" s="94"/>
      <c r="B38" s="36"/>
      <c r="C38" s="36"/>
      <c r="D38" s="37"/>
      <c r="E38" s="38"/>
      <c r="F38" s="39"/>
      <c r="G38" s="7"/>
      <c r="H38" s="3"/>
    </row>
    <row r="39" spans="1:8" s="8" customFormat="1" ht="12" customHeight="1">
      <c r="A39" s="94"/>
      <c r="B39" s="36"/>
      <c r="C39" s="36"/>
      <c r="D39" s="37"/>
      <c r="E39" s="38"/>
      <c r="F39" s="39"/>
      <c r="G39" s="7"/>
      <c r="H39" s="3"/>
    </row>
    <row r="40" spans="1:8" s="8" customFormat="1" ht="12" customHeight="1">
      <c r="A40" s="94"/>
      <c r="B40" s="36"/>
      <c r="C40" s="36"/>
      <c r="D40" s="37"/>
      <c r="E40" s="38"/>
      <c r="F40" s="39"/>
      <c r="G40" s="7"/>
      <c r="H40" s="3"/>
    </row>
    <row r="41" spans="1:8" s="8" customFormat="1" ht="12" customHeight="1">
      <c r="A41" s="94"/>
      <c r="D41" s="7"/>
      <c r="E41" s="39"/>
      <c r="F41" s="39"/>
      <c r="G41" s="7"/>
      <c r="H41" s="3"/>
    </row>
    <row r="42" spans="1:8" s="8" customFormat="1" ht="12" customHeight="1">
      <c r="A42" s="94"/>
      <c r="D42" s="7"/>
      <c r="E42" s="39"/>
      <c r="F42" s="39"/>
      <c r="G42" s="7"/>
      <c r="H42" s="3"/>
    </row>
    <row r="43" spans="1:8" s="8" customFormat="1" ht="12" customHeight="1">
      <c r="A43" s="94"/>
      <c r="D43" s="7"/>
      <c r="E43" s="39"/>
      <c r="F43" s="39"/>
      <c r="G43" s="7"/>
      <c r="H43" s="3"/>
    </row>
    <row r="44" spans="1:8" ht="16.2" customHeight="1" thickBot="1">
      <c r="A44" s="95"/>
      <c r="B44" s="4"/>
      <c r="C44" s="5"/>
      <c r="D44" s="5"/>
      <c r="E44" s="4"/>
      <c r="F44" s="4"/>
      <c r="G44" s="4"/>
      <c r="H44" s="3"/>
    </row>
    <row r="45" spans="1:8" s="40" customFormat="1" ht="12.6" thickTop="1">
      <c r="A45" s="7"/>
      <c r="B45" s="7" t="s">
        <v>0</v>
      </c>
      <c r="C45" s="7"/>
      <c r="D45" s="24" t="s">
        <v>60</v>
      </c>
      <c r="E45" s="48">
        <v>100000</v>
      </c>
      <c r="F45" s="48">
        <v>100550</v>
      </c>
      <c r="G45" s="49" t="s">
        <v>61</v>
      </c>
      <c r="H45" s="7"/>
    </row>
    <row r="46" spans="1:8">
      <c r="D46" s="41"/>
      <c r="E46" s="42"/>
      <c r="F46" s="42"/>
      <c r="G46" s="42"/>
      <c r="H46" s="41"/>
    </row>
    <row r="48" spans="1:8" ht="13.2" customHeight="1"/>
    <row r="50" spans="6:7" ht="16.2" thickBot="1">
      <c r="F50" s="86" t="s">
        <v>47</v>
      </c>
      <c r="G50" s="86"/>
    </row>
  </sheetData>
  <mergeCells count="40">
    <mergeCell ref="D10:F10"/>
    <mergeCell ref="D11:F11"/>
    <mergeCell ref="D12:F12"/>
    <mergeCell ref="B27:G27"/>
    <mergeCell ref="C28:G28"/>
    <mergeCell ref="F50:G50"/>
    <mergeCell ref="D13:G13"/>
    <mergeCell ref="D14:G25"/>
    <mergeCell ref="A27:A44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:G6"/>
    <mergeCell ref="D8:G8"/>
    <mergeCell ref="D9:F9"/>
    <mergeCell ref="A8:C8"/>
    <mergeCell ref="A9:C9"/>
    <mergeCell ref="A21:C21"/>
    <mergeCell ref="B22:C22"/>
    <mergeCell ref="B23:C23"/>
    <mergeCell ref="B34:C34"/>
    <mergeCell ref="B35:C35"/>
    <mergeCell ref="B36:C36"/>
    <mergeCell ref="B37:C37"/>
    <mergeCell ref="B24:C24"/>
    <mergeCell ref="B25:C25"/>
    <mergeCell ref="B26:C26"/>
    <mergeCell ref="B32:C32"/>
    <mergeCell ref="B33:C33"/>
    <mergeCell ref="C29:G29"/>
    <mergeCell ref="C30:G30"/>
    <mergeCell ref="B31:G31"/>
  </mergeCells>
  <phoneticPr fontId="2" type="noConversion"/>
  <printOptions horizontalCentered="1"/>
  <pageMargins left="0.196850393700787" right="0.196850393700787" top="0.66929133858267698" bottom="0.98425196850393704" header="0.511811023622047" footer="0.511811023622047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D83C-BE30-4882-BD05-11C593F0ABF0}">
  <dimension ref="A2:H48"/>
  <sheetViews>
    <sheetView showGridLines="0" topLeftCell="A7" workbookViewId="0">
      <selection activeCell="A29" sqref="A29"/>
    </sheetView>
  </sheetViews>
  <sheetFormatPr defaultColWidth="9" defaultRowHeight="15.6"/>
  <cols>
    <col min="1" max="2" width="18.09765625" customWidth="1"/>
    <col min="3" max="3" width="16.09765625" customWidth="1"/>
    <col min="4" max="4" width="11.3984375" customWidth="1"/>
    <col min="5" max="5" width="2.8984375" customWidth="1"/>
    <col min="6" max="6" width="11.296875" customWidth="1"/>
    <col min="7" max="7" width="11.09765625" customWidth="1"/>
    <col min="8" max="8" width="9" style="1"/>
  </cols>
  <sheetData>
    <row r="2" spans="1:8">
      <c r="A2" s="81" t="s">
        <v>38</v>
      </c>
      <c r="B2" s="81"/>
      <c r="C2" s="81"/>
      <c r="D2" s="81"/>
      <c r="E2" s="81"/>
      <c r="F2" s="81"/>
      <c r="G2" s="81"/>
    </row>
    <row r="3" spans="1:8">
      <c r="A3" s="81"/>
      <c r="B3" s="81"/>
      <c r="C3" s="81"/>
      <c r="D3" s="81"/>
      <c r="E3" s="81"/>
      <c r="F3" s="81"/>
      <c r="G3" s="81"/>
    </row>
    <row r="4" spans="1:8">
      <c r="A4" s="81"/>
      <c r="B4" s="81"/>
      <c r="C4" s="81"/>
      <c r="D4" s="81"/>
      <c r="E4" s="81"/>
      <c r="F4" s="81"/>
      <c r="G4" s="81"/>
    </row>
    <row r="5" spans="1:8">
      <c r="A5" s="81"/>
      <c r="B5" s="81"/>
      <c r="C5" s="81"/>
      <c r="D5" s="81"/>
      <c r="E5" s="81"/>
      <c r="F5" s="81"/>
      <c r="G5" s="81"/>
    </row>
    <row r="6" spans="1:8" ht="15.75" customHeight="1">
      <c r="A6" s="81"/>
      <c r="B6" s="81"/>
      <c r="C6" s="81"/>
      <c r="D6" s="81"/>
      <c r="E6" s="81"/>
      <c r="F6" s="81"/>
      <c r="G6" s="81"/>
      <c r="H6" s="17"/>
    </row>
    <row r="7" spans="1:8" ht="2.25" customHeight="1">
      <c r="A7" s="81"/>
      <c r="B7" s="81"/>
      <c r="C7" s="81"/>
      <c r="D7" s="81"/>
      <c r="E7" s="81"/>
      <c r="F7" s="81"/>
      <c r="G7" s="81"/>
    </row>
    <row r="8" spans="1:8" ht="13.5" hidden="1" customHeight="1">
      <c r="A8" s="81"/>
      <c r="B8" s="81"/>
      <c r="C8" s="81"/>
      <c r="D8" s="81"/>
      <c r="E8" s="81"/>
      <c r="F8" s="81"/>
      <c r="G8" s="81"/>
    </row>
    <row r="9" spans="1:8" ht="17.25" hidden="1" customHeight="1">
      <c r="A9" s="81"/>
      <c r="B9" s="81"/>
      <c r="C9" s="81"/>
      <c r="D9" s="81"/>
      <c r="E9" s="81"/>
      <c r="F9" s="81"/>
      <c r="G9" s="81"/>
    </row>
    <row r="10" spans="1:8" ht="13.5" customHeight="1">
      <c r="A10" s="58" t="s">
        <v>37</v>
      </c>
      <c r="B10" s="113"/>
      <c r="C10" s="113"/>
      <c r="D10" s="113"/>
      <c r="E10" s="113"/>
      <c r="F10" s="113"/>
      <c r="G10" s="113"/>
      <c r="H10" s="9"/>
    </row>
    <row r="11" spans="1:8" ht="15" customHeight="1">
      <c r="A11" s="110" t="s">
        <v>36</v>
      </c>
      <c r="B11" s="111"/>
      <c r="C11" s="112"/>
      <c r="D11" s="77" t="s">
        <v>35</v>
      </c>
      <c r="E11" s="82"/>
      <c r="F11" s="82"/>
      <c r="G11" s="78"/>
      <c r="H11" s="9"/>
    </row>
    <row r="12" spans="1:8" ht="14.25" customHeight="1">
      <c r="A12" s="83" t="s">
        <v>34</v>
      </c>
      <c r="B12" s="84"/>
      <c r="C12" s="85"/>
      <c r="D12" s="66" t="s">
        <v>41</v>
      </c>
      <c r="E12" s="99"/>
      <c r="F12" s="99"/>
      <c r="G12" s="52" t="s">
        <v>42</v>
      </c>
      <c r="H12" s="10"/>
    </row>
    <row r="13" spans="1:8" ht="14.25" customHeight="1">
      <c r="A13" s="83" t="s">
        <v>33</v>
      </c>
      <c r="B13" s="84"/>
      <c r="C13" s="85"/>
      <c r="D13" s="43" t="s">
        <v>32</v>
      </c>
      <c r="E13" s="44"/>
      <c r="F13" s="44"/>
      <c r="G13" s="50"/>
      <c r="H13" s="10"/>
    </row>
    <row r="14" spans="1:8" ht="15" customHeight="1">
      <c r="A14" s="114" t="s">
        <v>31</v>
      </c>
      <c r="B14" s="115"/>
      <c r="C14" s="116"/>
      <c r="D14" s="66" t="s">
        <v>43</v>
      </c>
      <c r="E14" s="99"/>
      <c r="F14" s="99"/>
      <c r="G14" s="52" t="s">
        <v>44</v>
      </c>
      <c r="H14" s="10"/>
    </row>
    <row r="15" spans="1:8" ht="15" customHeight="1">
      <c r="A15" s="117"/>
      <c r="B15" s="118"/>
      <c r="C15" s="119"/>
      <c r="D15" s="43" t="s">
        <v>30</v>
      </c>
      <c r="E15" s="44"/>
      <c r="F15" s="44"/>
      <c r="G15" s="50"/>
      <c r="H15" s="10"/>
    </row>
    <row r="16" spans="1:8" ht="14.25" customHeight="1">
      <c r="A16" s="110" t="s">
        <v>29</v>
      </c>
      <c r="B16" s="111"/>
      <c r="C16" s="112"/>
      <c r="D16" s="66" t="s">
        <v>45</v>
      </c>
      <c r="E16" s="99"/>
      <c r="F16" s="99"/>
      <c r="G16" s="52" t="s">
        <v>46</v>
      </c>
      <c r="H16" s="10"/>
    </row>
    <row r="17" spans="1:8" ht="14.25" customHeight="1">
      <c r="A17" s="83" t="s">
        <v>25</v>
      </c>
      <c r="B17" s="84"/>
      <c r="C17" s="85"/>
      <c r="D17" s="120" t="s">
        <v>28</v>
      </c>
      <c r="E17" s="121"/>
      <c r="F17" s="121"/>
      <c r="G17" s="122"/>
      <c r="H17" s="10"/>
    </row>
    <row r="18" spans="1:8" ht="14.25" customHeight="1">
      <c r="A18" s="83" t="s">
        <v>27</v>
      </c>
      <c r="B18" s="84"/>
      <c r="C18" s="85"/>
      <c r="D18" s="123"/>
      <c r="E18" s="124"/>
      <c r="F18" s="124"/>
      <c r="G18" s="125"/>
      <c r="H18" s="15"/>
    </row>
    <row r="19" spans="1:8" ht="14.25" customHeight="1">
      <c r="A19" s="83" t="s">
        <v>24</v>
      </c>
      <c r="B19" s="84"/>
      <c r="C19" s="85"/>
      <c r="D19" s="123"/>
      <c r="E19" s="124"/>
      <c r="F19" s="124"/>
      <c r="G19" s="125"/>
      <c r="H19" s="10"/>
    </row>
    <row r="20" spans="1:8" ht="14.25" customHeight="1">
      <c r="A20" s="103"/>
      <c r="B20" s="104"/>
      <c r="C20" s="105"/>
      <c r="D20" s="123"/>
      <c r="E20" s="124"/>
      <c r="F20" s="124"/>
      <c r="G20" s="125"/>
      <c r="H20" s="10"/>
    </row>
    <row r="21" spans="1:8" ht="19.5" customHeight="1">
      <c r="A21" s="110" t="s">
        <v>26</v>
      </c>
      <c r="B21" s="111"/>
      <c r="C21" s="112"/>
      <c r="D21" s="123"/>
      <c r="E21" s="124"/>
      <c r="F21" s="124"/>
      <c r="G21" s="125"/>
      <c r="H21" s="10"/>
    </row>
    <row r="22" spans="1:8" ht="14.25" customHeight="1">
      <c r="A22" s="83" t="s">
        <v>25</v>
      </c>
      <c r="B22" s="84"/>
      <c r="C22" s="85"/>
      <c r="D22" s="123"/>
      <c r="E22" s="124"/>
      <c r="F22" s="124"/>
      <c r="G22" s="125"/>
      <c r="H22" s="10"/>
    </row>
    <row r="23" spans="1:8" ht="14.25" customHeight="1">
      <c r="A23" s="83" t="s">
        <v>66</v>
      </c>
      <c r="B23" s="84"/>
      <c r="C23" s="85"/>
      <c r="D23" s="123"/>
      <c r="E23" s="124"/>
      <c r="F23" s="124"/>
      <c r="G23" s="125"/>
      <c r="H23" s="10"/>
    </row>
    <row r="24" spans="1:8" ht="14.25" customHeight="1">
      <c r="A24" s="83" t="s">
        <v>24</v>
      </c>
      <c r="B24" s="84"/>
      <c r="C24" s="85"/>
      <c r="D24" s="123"/>
      <c r="E24" s="124"/>
      <c r="F24" s="124"/>
      <c r="G24" s="125"/>
      <c r="H24" s="10"/>
    </row>
    <row r="25" spans="1:8" ht="14.25" customHeight="1">
      <c r="A25" s="103"/>
      <c r="B25" s="104"/>
      <c r="C25" s="105"/>
      <c r="D25" s="123"/>
      <c r="E25" s="124"/>
      <c r="F25" s="124"/>
      <c r="G25" s="125"/>
      <c r="H25" s="10"/>
    </row>
    <row r="26" spans="1:8">
      <c r="A26" s="14" t="s">
        <v>23</v>
      </c>
      <c r="B26" s="77" t="s">
        <v>22</v>
      </c>
      <c r="C26" s="78"/>
      <c r="D26" s="123"/>
      <c r="E26" s="124"/>
      <c r="F26" s="124"/>
      <c r="G26" s="125"/>
      <c r="H26" s="10"/>
    </row>
    <row r="27" spans="1:8" ht="19.5" customHeight="1">
      <c r="A27" s="23" t="s">
        <v>21</v>
      </c>
      <c r="B27" s="79" t="s">
        <v>20</v>
      </c>
      <c r="C27" s="80"/>
      <c r="D27" s="123"/>
      <c r="E27" s="124"/>
      <c r="F27" s="124"/>
      <c r="G27" s="125"/>
      <c r="H27" s="10"/>
    </row>
    <row r="28" spans="1:8" ht="13.5" customHeight="1">
      <c r="A28" s="14" t="s">
        <v>19</v>
      </c>
      <c r="B28" s="77" t="s">
        <v>18</v>
      </c>
      <c r="C28" s="78"/>
      <c r="D28" s="123"/>
      <c r="E28" s="124"/>
      <c r="F28" s="124"/>
      <c r="G28" s="125"/>
      <c r="H28" s="10"/>
    </row>
    <row r="29" spans="1:8" ht="13.5" customHeight="1">
      <c r="A29" s="30" t="s">
        <v>17</v>
      </c>
      <c r="B29" s="66" t="s">
        <v>16</v>
      </c>
      <c r="C29" s="67"/>
      <c r="D29" s="126"/>
      <c r="E29" s="127"/>
      <c r="F29" s="127"/>
      <c r="G29" s="128"/>
      <c r="H29" s="10"/>
    </row>
    <row r="30" spans="1:8" ht="15.6" customHeight="1">
      <c r="A30" s="13" t="s">
        <v>15</v>
      </c>
      <c r="B30" s="106" t="s">
        <v>14</v>
      </c>
      <c r="C30" s="106"/>
      <c r="D30" s="68" t="s">
        <v>13</v>
      </c>
      <c r="E30" s="69"/>
      <c r="F30" s="13" t="s">
        <v>12</v>
      </c>
      <c r="G30" s="13" t="s">
        <v>11</v>
      </c>
      <c r="H30" s="10"/>
    </row>
    <row r="31" spans="1:8" ht="12" customHeight="1">
      <c r="A31" s="101" t="s">
        <v>5</v>
      </c>
      <c r="B31" s="11"/>
      <c r="C31" s="2"/>
      <c r="D31" s="129" t="s">
        <v>10</v>
      </c>
      <c r="E31" s="129"/>
      <c r="F31" s="24" t="s">
        <v>9</v>
      </c>
      <c r="G31" s="24" t="s">
        <v>8</v>
      </c>
      <c r="H31" s="10"/>
    </row>
    <row r="32" spans="1:8" ht="6" customHeight="1">
      <c r="A32" s="101"/>
      <c r="B32" s="3"/>
      <c r="C32" s="3"/>
      <c r="D32" s="3"/>
      <c r="E32" s="3"/>
      <c r="F32" s="3"/>
      <c r="G32" s="3"/>
      <c r="H32" s="10"/>
    </row>
    <row r="33" spans="1:8" ht="11.25" customHeight="1">
      <c r="A33" s="101"/>
      <c r="B33" s="11"/>
      <c r="C33" s="11"/>
      <c r="D33" s="94" t="s">
        <v>7</v>
      </c>
      <c r="E33" s="94"/>
      <c r="F33" s="100" t="s">
        <v>6</v>
      </c>
      <c r="G33" s="100"/>
      <c r="H33" s="10"/>
    </row>
    <row r="34" spans="1:8" ht="15" customHeight="1">
      <c r="A34" s="101"/>
      <c r="B34" s="25" t="s">
        <v>39</v>
      </c>
      <c r="C34" s="26" t="s">
        <v>40</v>
      </c>
      <c r="D34" s="124">
        <v>100</v>
      </c>
      <c r="E34" s="124"/>
      <c r="F34" s="27">
        <v>705</v>
      </c>
      <c r="G34" s="27">
        <f>D34*F34</f>
        <v>70500</v>
      </c>
      <c r="H34" s="10"/>
    </row>
    <row r="35" spans="1:8" ht="15" customHeight="1">
      <c r="A35" s="101"/>
      <c r="B35" s="8" t="s">
        <v>65</v>
      </c>
      <c r="C35" s="59">
        <f>D34</f>
        <v>100</v>
      </c>
      <c r="D35" s="107"/>
      <c r="E35" s="107"/>
      <c r="F35" s="28"/>
      <c r="G35" s="28"/>
      <c r="H35" s="9"/>
    </row>
    <row r="36" spans="1:8" ht="15" customHeight="1">
      <c r="A36" s="101"/>
      <c r="B36" s="8" t="s">
        <v>4</v>
      </c>
      <c r="C36" s="22" t="s">
        <v>3</v>
      </c>
      <c r="D36" s="107"/>
      <c r="E36" s="107"/>
      <c r="F36" s="28"/>
      <c r="G36" s="28"/>
      <c r="H36" s="9"/>
    </row>
    <row r="37" spans="1:8" ht="15" customHeight="1">
      <c r="A37" s="101"/>
      <c r="B37" s="3" t="s">
        <v>2</v>
      </c>
      <c r="C37" s="18" t="s">
        <v>1</v>
      </c>
      <c r="D37" s="107"/>
      <c r="E37" s="107"/>
      <c r="F37" s="28"/>
      <c r="G37" s="28"/>
    </row>
    <row r="38" spans="1:8" ht="15" customHeight="1">
      <c r="A38" s="101"/>
      <c r="B38" s="7"/>
      <c r="C38" s="8"/>
      <c r="D38" s="108"/>
      <c r="E38" s="108"/>
      <c r="F38" s="28"/>
      <c r="G38" s="28"/>
    </row>
    <row r="39" spans="1:8" ht="15" customHeight="1">
      <c r="A39" s="101"/>
      <c r="B39" s="7"/>
      <c r="C39" s="3"/>
      <c r="D39" s="3"/>
      <c r="E39" s="3"/>
      <c r="F39" s="28"/>
      <c r="G39" s="28"/>
    </row>
    <row r="40" spans="1:8" ht="15" customHeight="1">
      <c r="A40" s="101"/>
      <c r="B40" s="3"/>
      <c r="C40" s="100"/>
      <c r="D40" s="100"/>
      <c r="E40" s="100"/>
      <c r="F40" s="100"/>
      <c r="G40" s="6"/>
    </row>
    <row r="41" spans="1:8" ht="15" customHeight="1">
      <c r="A41" s="101"/>
      <c r="B41" s="3"/>
      <c r="C41" s="3"/>
      <c r="D41" s="3"/>
      <c r="E41" s="3"/>
      <c r="F41" s="29"/>
      <c r="G41" s="6"/>
    </row>
    <row r="42" spans="1:8" ht="15" customHeight="1">
      <c r="A42" s="101"/>
      <c r="B42" s="3"/>
      <c r="C42" s="3"/>
      <c r="D42" s="19"/>
      <c r="E42" s="19"/>
      <c r="F42" s="3"/>
      <c r="G42" s="3"/>
    </row>
    <row r="43" spans="1:8" ht="16.2" thickBot="1">
      <c r="A43" s="102"/>
      <c r="B43" s="4"/>
      <c r="C43" s="4"/>
      <c r="D43" s="5"/>
      <c r="E43" s="5"/>
      <c r="F43" s="4"/>
      <c r="G43" s="4"/>
    </row>
    <row r="44" spans="1:8" ht="22.5" customHeight="1" thickTop="1">
      <c r="A44" s="3"/>
      <c r="B44" s="3"/>
      <c r="C44" s="2" t="s">
        <v>0</v>
      </c>
      <c r="D44" s="109">
        <f>C35</f>
        <v>100</v>
      </c>
      <c r="E44" s="109"/>
      <c r="F44" s="53">
        <f>F34</f>
        <v>705</v>
      </c>
      <c r="G44" s="54">
        <f>G34</f>
        <v>70500</v>
      </c>
    </row>
    <row r="48" spans="1:8" ht="16.2" thickBot="1">
      <c r="F48" s="86" t="s">
        <v>47</v>
      </c>
      <c r="G48" s="86"/>
    </row>
  </sheetData>
  <mergeCells count="41">
    <mergeCell ref="A14:C14"/>
    <mergeCell ref="A15:C15"/>
    <mergeCell ref="A16:C16"/>
    <mergeCell ref="F33:G33"/>
    <mergeCell ref="C40:F40"/>
    <mergeCell ref="A17:C17"/>
    <mergeCell ref="A18:C18"/>
    <mergeCell ref="A19:C19"/>
    <mergeCell ref="A21:C21"/>
    <mergeCell ref="D17:G17"/>
    <mergeCell ref="D18:G29"/>
    <mergeCell ref="D30:E30"/>
    <mergeCell ref="D31:E31"/>
    <mergeCell ref="D33:E33"/>
    <mergeCell ref="D34:E34"/>
    <mergeCell ref="D35:E35"/>
    <mergeCell ref="A2:G9"/>
    <mergeCell ref="A11:C11"/>
    <mergeCell ref="A12:C12"/>
    <mergeCell ref="D12:F12"/>
    <mergeCell ref="A13:C13"/>
    <mergeCell ref="D11:G11"/>
    <mergeCell ref="B10:G10"/>
    <mergeCell ref="F48:G48"/>
    <mergeCell ref="D14:F14"/>
    <mergeCell ref="D16:F16"/>
    <mergeCell ref="D36:E36"/>
    <mergeCell ref="D37:E37"/>
    <mergeCell ref="D38:E38"/>
    <mergeCell ref="D44:E44"/>
    <mergeCell ref="A31:A43"/>
    <mergeCell ref="A20:C20"/>
    <mergeCell ref="A25:C25"/>
    <mergeCell ref="B26:C26"/>
    <mergeCell ref="B27:C27"/>
    <mergeCell ref="B28:C28"/>
    <mergeCell ref="B29:C29"/>
    <mergeCell ref="B30:C30"/>
    <mergeCell ref="A22:C22"/>
    <mergeCell ref="A23:C23"/>
    <mergeCell ref="A24:C24"/>
  </mergeCells>
  <phoneticPr fontId="2" type="noConversion"/>
  <printOptions horizontalCentered="1" verticalCentered="1"/>
  <pageMargins left="0" right="0.39370078740157499" top="0.98425196850393704" bottom="0.98425196850393704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PL format</vt:lpstr>
      <vt:lpstr>CI format</vt:lpstr>
      <vt:lpstr>'CI format'!Print_Area</vt:lpstr>
      <vt:lpstr>'PL format'!Print_Area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jongpil park</dc:creator>
  <cp:lastModifiedBy>jongpil park</cp:lastModifiedBy>
  <cp:lastPrinted>2026-03-19T02:09:47Z</cp:lastPrinted>
  <dcterms:created xsi:type="dcterms:W3CDTF">2026-03-18T02:17:55Z</dcterms:created>
  <dcterms:modified xsi:type="dcterms:W3CDTF">2026-03-19T02:10:27Z</dcterms:modified>
</cp:coreProperties>
</file>